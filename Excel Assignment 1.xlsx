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Vishw\Downloads\"/>
    </mc:Choice>
  </mc:AlternateContent>
  <xr:revisionPtr revIDLastSave="0" documentId="8_{6C530633-923C-40DA-B092-F654E49A52AB}" xr6:coauthVersionLast="47" xr6:coauthVersionMax="47" xr10:uidLastSave="{00000000-0000-0000-0000-000000000000}"/>
  <bookViews>
    <workbookView xWindow="-110" yWindow="-110" windowWidth="19420" windowHeight="10300" firstSheet="4" activeTab="7" xr2:uid="{BA2C9E28-8821-4E6D-A348-1D0904773B95}"/>
  </bookViews>
  <sheets>
    <sheet name="sheet1" sheetId="22" r:id="rId1"/>
    <sheet name="Question.1" sheetId="2" r:id="rId2"/>
    <sheet name="Question.2" sheetId="3" r:id="rId3"/>
    <sheet name="Question.3" sheetId="4" r:id="rId4"/>
    <sheet name="Question.4" sheetId="5" r:id="rId5"/>
    <sheet name="Question.5" sheetId="28" r:id="rId6"/>
    <sheet name="Dashboard" sheetId="30" r:id="rId7"/>
    <sheet name="Question.6" sheetId="31" r:id="rId8"/>
  </sheets>
  <definedNames>
    <definedName name="Slicer_City">#N/A</definedName>
    <definedName name="Slicer_Membership_Type">#N/A</definedName>
    <definedName name="Slicer_Referred">#N/A</definedName>
  </definedNames>
  <calcPr calcId="191029"/>
  <pivotCaches>
    <pivotCache cacheId="2" r:id="rId9"/>
    <pivotCache cacheId="3" r:id="rId10"/>
    <pivotCache cacheId="23" r:id="rId11"/>
    <pivotCache cacheId="28" r:id="rId12"/>
    <pivotCache cacheId="36" r:id="rId13"/>
  </pivotCaches>
  <fileRecoveryPr repairLoad="1"/>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5" l="1"/>
  <c r="D2" i="3" a="1"/>
  <c r="D2" i="3" s="1"/>
  <c r="C3" i="2"/>
  <c r="F4" i="31"/>
  <c r="F5" i="31"/>
  <c r="F6" i="31"/>
  <c r="F7" i="31"/>
  <c r="F8" i="31"/>
  <c r="F9" i="31"/>
  <c r="F10" i="31"/>
  <c r="F11" i="31"/>
  <c r="F12" i="31"/>
  <c r="F13" i="31"/>
  <c r="F14" i="31"/>
  <c r="F15" i="31"/>
  <c r="F16" i="31"/>
  <c r="F17" i="31"/>
  <c r="F18" i="31"/>
  <c r="F19" i="31"/>
  <c r="F20" i="31"/>
  <c r="F21" i="31"/>
  <c r="F22" i="31"/>
  <c r="F23" i="31"/>
  <c r="F24" i="31"/>
  <c r="F25" i="31"/>
  <c r="F26" i="31"/>
  <c r="F27" i="31"/>
  <c r="F28" i="31"/>
  <c r="F29" i="31"/>
  <c r="F30" i="31"/>
  <c r="F31" i="31"/>
  <c r="F32" i="31"/>
  <c r="F33" i="31"/>
  <c r="F34" i="31"/>
  <c r="F35" i="31"/>
  <c r="F36" i="31"/>
  <c r="F3" i="31"/>
  <c r="F2" i="31"/>
  <c r="A36" i="31"/>
  <c r="A3" i="31"/>
  <c r="A4" i="31"/>
  <c r="A5" i="31"/>
  <c r="A6" i="31"/>
  <c r="A7" i="31"/>
  <c r="A8" i="31"/>
  <c r="A9" i="31"/>
  <c r="A10" i="31"/>
  <c r="A11" i="31"/>
  <c r="A12" i="31"/>
  <c r="A13" i="31"/>
  <c r="A14" i="31"/>
  <c r="A15" i="31"/>
  <c r="A16" i="31"/>
  <c r="A17" i="31"/>
  <c r="A18" i="31"/>
  <c r="A19" i="31"/>
  <c r="A20" i="31"/>
  <c r="A21" i="31"/>
  <c r="A22" i="31"/>
  <c r="A23" i="31"/>
  <c r="A24" i="31"/>
  <c r="A25" i="31"/>
  <c r="A26" i="31"/>
  <c r="A27" i="31"/>
  <c r="A28" i="31"/>
  <c r="A29" i="31"/>
  <c r="A30" i="31"/>
  <c r="A31" i="31"/>
  <c r="A32" i="31"/>
  <c r="A33" i="31"/>
  <c r="A34" i="31"/>
  <c r="A35" i="31"/>
  <c r="A2" i="31"/>
  <c r="F4" i="28"/>
  <c r="F5" i="28"/>
  <c r="F6" i="28"/>
  <c r="F7" i="28"/>
  <c r="F8" i="28"/>
  <c r="F9" i="28"/>
  <c r="F10" i="28"/>
  <c r="F11" i="28"/>
  <c r="F12" i="28"/>
  <c r="F13" i="28"/>
  <c r="F14" i="28"/>
  <c r="F15" i="28"/>
  <c r="F16" i="28"/>
  <c r="F17" i="28"/>
  <c r="F18" i="28"/>
  <c r="F19" i="28"/>
  <c r="F20" i="28"/>
  <c r="F21" i="28"/>
  <c r="F22" i="28"/>
  <c r="F23" i="28"/>
  <c r="F24" i="28"/>
  <c r="F25" i="28"/>
  <c r="F26" i="28"/>
  <c r="F27" i="28"/>
  <c r="F28" i="28"/>
  <c r="F29" i="28"/>
  <c r="F30" i="28"/>
  <c r="F31" i="28"/>
  <c r="F32" i="28"/>
  <c r="F33" i="28"/>
  <c r="F34" i="28"/>
  <c r="F35" i="28"/>
  <c r="F36" i="28"/>
  <c r="F3" i="28"/>
  <c r="F2" i="28"/>
  <c r="E4" i="28"/>
  <c r="E5" i="28"/>
  <c r="E6" i="28"/>
  <c r="E7" i="28"/>
  <c r="E8"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 i="28"/>
  <c r="E2" i="28"/>
  <c r="A36" i="28"/>
  <c r="A4" i="28"/>
  <c r="A5" i="28"/>
  <c r="A6" i="28"/>
  <c r="A7" i="28"/>
  <c r="A8" i="28"/>
  <c r="A9" i="28"/>
  <c r="A10" i="28"/>
  <c r="A11" i="28"/>
  <c r="A12" i="28"/>
  <c r="A13" i="28"/>
  <c r="A14" i="28"/>
  <c r="A15" i="28"/>
  <c r="A16" i="28"/>
  <c r="A17" i="28"/>
  <c r="A18" i="28"/>
  <c r="A19" i="28"/>
  <c r="A20" i="28"/>
  <c r="A21" i="28"/>
  <c r="A22" i="28"/>
  <c r="A23" i="28"/>
  <c r="A24" i="28"/>
  <c r="A25" i="28"/>
  <c r="A26" i="28"/>
  <c r="A27" i="28"/>
  <c r="A28" i="28"/>
  <c r="A29" i="28"/>
  <c r="A30" i="28"/>
  <c r="A31" i="28"/>
  <c r="A32" i="28"/>
  <c r="A33" i="28"/>
  <c r="A34" i="28"/>
  <c r="A35" i="28"/>
  <c r="A3" i="28"/>
  <c r="A2" i="28"/>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 i="5"/>
  <c r="C2"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 i="5"/>
  <c r="G4" i="4" l="1"/>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 i="4"/>
  <c r="G3" i="4" s="1"/>
  <c r="F2" i="4"/>
  <c r="G2" i="4"/>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<sst xmlns="http://schemas.openxmlformats.org/spreadsheetml/2006/main" count="761" uniqueCount="153">
  <si>
    <t>Full_Name</t>
  </si>
  <si>
    <t>Age</t>
  </si>
  <si>
    <t>Gender</t>
  </si>
  <si>
    <t>Membership_Type</t>
  </si>
  <si>
    <t>Start_Date</t>
  </si>
  <si>
    <t>End_Date</t>
  </si>
  <si>
    <t>Monthly_Fee</t>
  </si>
  <si>
    <t>Attendance</t>
  </si>
  <si>
    <t>City</t>
  </si>
  <si>
    <t>Referred_By</t>
  </si>
  <si>
    <t>M001</t>
  </si>
  <si>
    <t>Anay Shanker</t>
  </si>
  <si>
    <t>Male</t>
  </si>
  <si>
    <t>Basic</t>
  </si>
  <si>
    <t>Bengaluru</t>
  </si>
  <si>
    <t>Hiran Shan</t>
  </si>
  <si>
    <t>M002</t>
  </si>
  <si>
    <t>Parinaaz Shanker</t>
  </si>
  <si>
    <t>Pune</t>
  </si>
  <si>
    <t>Kiara Kakar</t>
  </si>
  <si>
    <t>M003</t>
  </si>
  <si>
    <t>Aniruddh Batra</t>
  </si>
  <si>
    <t>Standard</t>
  </si>
  <si>
    <t>Hyderabad</t>
  </si>
  <si>
    <t>Jhanvi Chaudhary</t>
  </si>
  <si>
    <t>M004</t>
  </si>
  <si>
    <t>Madhup Kapur</t>
  </si>
  <si>
    <t>Female</t>
  </si>
  <si>
    <t>Tara Swaminathan</t>
  </si>
  <si>
    <t>M005</t>
  </si>
  <si>
    <t>Rasha Kakar</t>
  </si>
  <si>
    <t>Family</t>
  </si>
  <si>
    <t>Madhav Singh</t>
  </si>
  <si>
    <t>M006</t>
  </si>
  <si>
    <t>Ehsaan Batra</t>
  </si>
  <si>
    <t>Mumbai</t>
  </si>
  <si>
    <t>Shray Ramakrishnan</t>
  </si>
  <si>
    <t>M007</t>
  </si>
  <si>
    <t>Zara Bains</t>
  </si>
  <si>
    <t>M008</t>
  </si>
  <si>
    <t>Uthkarsh Baral</t>
  </si>
  <si>
    <t>Premium</t>
  </si>
  <si>
    <t>Kolkata</t>
  </si>
  <si>
    <t>M009</t>
  </si>
  <si>
    <t>Kashvi Char</t>
  </si>
  <si>
    <t>Nitara Comar</t>
  </si>
  <si>
    <t>M010</t>
  </si>
  <si>
    <t>Dhanush Varma</t>
  </si>
  <si>
    <t>Ranbir Karan</t>
  </si>
  <si>
    <t>M011</t>
  </si>
  <si>
    <t>Ishaan Goyal</t>
  </si>
  <si>
    <t>Rati Sanghvi</t>
  </si>
  <si>
    <t>M012</t>
  </si>
  <si>
    <t>Mahika Ravi</t>
  </si>
  <si>
    <t>Ishaan Kashyap</t>
  </si>
  <si>
    <t>M013</t>
  </si>
  <si>
    <t>Purab Reddy</t>
  </si>
  <si>
    <t>M014</t>
  </si>
  <si>
    <t>Tiya Soni</t>
  </si>
  <si>
    <t>M015</t>
  </si>
  <si>
    <t>Zara Dugar</t>
  </si>
  <si>
    <t>M016</t>
  </si>
  <si>
    <t>Lakshit Mander</t>
  </si>
  <si>
    <t>M017</t>
  </si>
  <si>
    <t>Neysa Krish</t>
  </si>
  <si>
    <t>M018</t>
  </si>
  <si>
    <t>Prerak Boase</t>
  </si>
  <si>
    <t>Delhi</t>
  </si>
  <si>
    <t>M019</t>
  </si>
  <si>
    <t>Siya Master</t>
  </si>
  <si>
    <t>M020</t>
  </si>
  <si>
    <t>Madhup Biswas</t>
  </si>
  <si>
    <t>Tanya Bajwa</t>
  </si>
  <si>
    <t>M021</t>
  </si>
  <si>
    <t>Indrans Ratti</t>
  </si>
  <si>
    <t>M022</t>
  </si>
  <si>
    <t>Kimaya Balay</t>
  </si>
  <si>
    <t>M023</t>
  </si>
  <si>
    <t>Eva Dass</t>
  </si>
  <si>
    <t>M024</t>
  </si>
  <si>
    <t>Pihu Wali</t>
  </si>
  <si>
    <t>M025</t>
  </si>
  <si>
    <t>Tiya Rege</t>
  </si>
  <si>
    <t>Adira Brar</t>
  </si>
  <si>
    <t>M026</t>
  </si>
  <si>
    <t>Aarav Sen</t>
  </si>
  <si>
    <t>M027</t>
  </si>
  <si>
    <t>Dishani Bera</t>
  </si>
  <si>
    <t>M028</t>
  </si>
  <si>
    <t>Indrans Grover</t>
  </si>
  <si>
    <t>M029</t>
  </si>
  <si>
    <t>Kismat Edwin</t>
  </si>
  <si>
    <t>M030</t>
  </si>
  <si>
    <t>Taran Vyas</t>
  </si>
  <si>
    <t>Nakul Balakrishnan</t>
  </si>
  <si>
    <t>M031</t>
  </si>
  <si>
    <t>Jiya Baral</t>
  </si>
  <si>
    <t>Darshit Sidhu</t>
  </si>
  <si>
    <t>M032</t>
  </si>
  <si>
    <t>Gokul Sahni</t>
  </si>
  <si>
    <t>M033</t>
  </si>
  <si>
    <t>Prerak Lalla</t>
  </si>
  <si>
    <t>M034</t>
  </si>
  <si>
    <t>Hrishita Shroff</t>
  </si>
  <si>
    <t>Riya Dugal</t>
  </si>
  <si>
    <t>M035</t>
  </si>
  <si>
    <t>Oorja Sachar</t>
  </si>
  <si>
    <t>End_date</t>
  </si>
  <si>
    <t>Start_date</t>
  </si>
  <si>
    <t>Membership_Duration_Month</t>
  </si>
  <si>
    <t>Referred_by</t>
  </si>
  <si>
    <t>Full_name</t>
  </si>
  <si>
    <t>Referred_Status</t>
  </si>
  <si>
    <t>Row Labels</t>
  </si>
  <si>
    <t>Grand Total</t>
  </si>
  <si>
    <t>No</t>
  </si>
  <si>
    <t>yes</t>
  </si>
  <si>
    <t>Average of Monthly_Fee</t>
  </si>
  <si>
    <t>Pivot Table</t>
  </si>
  <si>
    <t>Membership_Duration_months</t>
  </si>
  <si>
    <t>Total_revenue</t>
  </si>
  <si>
    <t>Sum of Total_revenue</t>
  </si>
  <si>
    <t>Pivot Table For Membership Type</t>
  </si>
  <si>
    <t>Pivot Table citywise</t>
  </si>
  <si>
    <t>Member_ID</t>
  </si>
  <si>
    <t>Membership_Duration_month</t>
  </si>
  <si>
    <t>Low_Engagement_Flag</t>
  </si>
  <si>
    <t>Total_Revenue</t>
  </si>
  <si>
    <t>Referred</t>
  </si>
  <si>
    <t>Sum of Total_Revenue</t>
  </si>
  <si>
    <t>Column Labels</t>
  </si>
  <si>
    <t>no</t>
  </si>
  <si>
    <t>Average Revenue</t>
  </si>
  <si>
    <t>c</t>
  </si>
  <si>
    <t>Sum of Member_ID</t>
  </si>
  <si>
    <t>Age_group</t>
  </si>
  <si>
    <t>Adult</t>
  </si>
  <si>
    <t>seniors</t>
  </si>
  <si>
    <t>youth</t>
  </si>
  <si>
    <t>Count of Full_Name</t>
  </si>
  <si>
    <t>pivot table for Gender-wise count of members per city</t>
  </si>
  <si>
    <t>pivot table for Age Distribution across Membership Types</t>
  </si>
  <si>
    <t>Here we apply formula for</t>
  </si>
  <si>
    <t>membership duration months</t>
  </si>
  <si>
    <t>formula:-(start_date-End_date)/30</t>
  </si>
  <si>
    <t>Ans:-</t>
  </si>
  <si>
    <t xml:space="preserve">##we create a new column as referred status </t>
  </si>
  <si>
    <t>formula-(Referred_by="","yes","no")</t>
  </si>
  <si>
    <t>#we create a new column total_revenue by using formula :-monthly_fee*membership duration month</t>
  </si>
  <si>
    <t>#we use  Conditional Formatting to highlight</t>
  </si>
  <si>
    <t>member with attendance&lt;8 and membership duration month&gt;=6</t>
  </si>
  <si>
    <t>formula for low engagement flag :if(And(attendance&lt;8,membership duration month&gt;=6</t>
  </si>
  <si>
    <t>),"yes","no")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</si>
</sst>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11"/>
      <color theme="5"/>
      <name val="Calibri"/>
      <family val="2"/>
      <scheme val="minor"/>
    </font>
    <font>
      <b/>
      <sz val="12"/>
      <color theme="1" tint="0.34998626667073579"/>
      <name val="Calibri"/>
      <family val="2"/>
      <scheme val="minor"/>
    </font>
    <font>
      <sz val="12"/>
      <color theme="1" tint="0.34998626667073579"/>
      <name val="Calibri"/>
      <family val="2"/>
      <scheme val="minor"/>
    </font>
  </fonts>
  <fills count="5">
    <fill>
      <patternFill patternType="none"/>
    </fill>
    <fill>
      <patternFill patternType="gray125"/>
    </fill>
    <fill>
      <patternFill patternType="solid">
        <fgColor theme="6"/>
        <bgColor indexed="64"/>
      </patternFill>
    </fill>
    <fill>
      <patternFill patternType="solid">
        <fgColor theme="3" tint="0.79998168889431442"/>
        <bgColor indexed="64"/>
      </patternFill>
    </fill>
    <fill>
      <patternFill patternType="solid">
        <fgColor theme="2" tint="-9.9978637043366805E-2"/>
        <bgColor indexed="64"/>
      </patternFill>
    </fill>
  </fills>
  <borders count="5">
    <border>
      <left/>
      <right/>
      <top/>
      <bottom/>
      <diagonal/>
    </border>
    <border>
      <left style="medium">
        <color rgb="FF000000"/>
      </left>
      <right style="medium">
        <color rgb="FFCCCCCC"/>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9">
    <xf numFmtId="0" fontId="0" fillId="0" borderId="0" xfId="0"/>
    <xf numFmtId="0" fontId="0" fillId="0" borderId="1" xfId="0" applyBorder="1" applyAlignment="1">
      <alignment vertical="top" wrapText="1"/>
    </xf>
    <xf numFmtId="0" fontId="1" fillId="0" borderId="2" xfId="0" applyFont="1" applyBorder="1" applyAlignment="1">
      <alignment horizontal="center" vertical="center"/>
    </xf>
    <xf numFmtId="0" fontId="1" fillId="0" borderId="2" xfId="0" applyFont="1" applyBorder="1" applyAlignment="1">
      <alignment horizontal="center" vertical="top" wrapText="1"/>
    </xf>
    <xf numFmtId="0" fontId="1" fillId="0" borderId="3" xfId="0" applyFont="1" applyBorder="1" applyAlignment="1">
      <alignment horizontal="center" vertical="center"/>
    </xf>
    <xf numFmtId="0" fontId="0" fillId="0" borderId="4" xfId="0" applyBorder="1" applyAlignment="1">
      <alignment wrapText="1"/>
    </xf>
    <xf numFmtId="0" fontId="0" fillId="0" borderId="4" xfId="0" applyBorder="1" applyAlignment="1">
      <alignment horizontal="right" wrapText="1"/>
    </xf>
    <xf numFmtId="0" fontId="0" fillId="0" borderId="4" xfId="0" applyBorder="1" applyAlignment="1">
      <alignment vertical="center"/>
    </xf>
    <xf numFmtId="164" fontId="0" fillId="0" borderId="4" xfId="0" applyNumberFormat="1" applyBorder="1" applyAlignment="1">
      <alignment horizontal="right" wrapText="1"/>
    </xf>
    <xf numFmtId="1" fontId="0" fillId="0" borderId="0" xfId="0" applyNumberFormat="1"/>
    <xf numFmtId="0" fontId="0" fillId="0" borderId="0" xfId="0" pivotButton="1"/>
    <xf numFmtId="0" fontId="0" fillId="0" borderId="0" xfId="0" applyAlignment="1">
      <alignment horizontal="left"/>
    </xf>
    <xf numFmtId="0" fontId="1" fillId="0" borderId="0" xfId="0" applyFont="1"/>
    <xf numFmtId="0" fontId="3" fillId="0" borderId="0" xfId="0" applyFont="1"/>
    <xf numFmtId="164" fontId="0" fillId="0" borderId="4" xfId="0" applyNumberFormat="1" applyBorder="1" applyAlignment="1">
      <alignment horizontal="center" wrapText="1"/>
    </xf>
    <xf numFmtId="0" fontId="0" fillId="0" borderId="4" xfId="0" applyBorder="1" applyAlignment="1">
      <alignment horizontal="center" wrapText="1"/>
    </xf>
    <xf numFmtId="0" fontId="0" fillId="0" borderId="0" xfId="0" applyAlignment="1">
      <alignment vertical="top"/>
    </xf>
    <xf numFmtId="0" fontId="1" fillId="0" borderId="0" xfId="0" applyFont="1" applyAlignment="1">
      <alignment vertical="top"/>
    </xf>
    <xf numFmtId="0" fontId="0" fillId="0" borderId="0" xfId="0" applyAlignment="1">
      <alignment horizontal="center"/>
    </xf>
    <xf numFmtId="14" fontId="0" fillId="0" borderId="4" xfId="0" applyNumberFormat="1" applyBorder="1" applyAlignment="1">
      <alignment horizontal="right" wrapText="1"/>
    </xf>
    <xf numFmtId="0" fontId="2" fillId="2" borderId="0" xfId="0" applyFont="1" applyFill="1" applyAlignment="1">
      <alignment horizontal="center"/>
    </xf>
    <xf numFmtId="0" fontId="4" fillId="0" borderId="2" xfId="0" applyFont="1" applyBorder="1" applyAlignment="1">
      <alignment horizontal="center" vertical="top" wrapText="1"/>
    </xf>
    <xf numFmtId="164" fontId="4" fillId="0" borderId="2" xfId="0" applyNumberFormat="1" applyFont="1" applyBorder="1" applyAlignment="1">
      <alignment horizontal="center" vertical="top" wrapText="1"/>
    </xf>
    <xf numFmtId="0" fontId="4" fillId="0" borderId="0" xfId="0" applyFont="1" applyAlignment="1">
      <alignment horizontal="center" vertical="top"/>
    </xf>
    <xf numFmtId="0" fontId="4" fillId="0" borderId="0" xfId="0" applyFont="1" applyAlignment="1">
      <alignment vertical="top"/>
    </xf>
    <xf numFmtId="0" fontId="5" fillId="0" borderId="0" xfId="0" applyFont="1" applyAlignment="1">
      <alignment vertical="top"/>
    </xf>
    <xf numFmtId="0" fontId="6" fillId="0" borderId="0" xfId="0" applyFont="1" applyAlignment="1">
      <alignment vertical="top"/>
    </xf>
    <xf numFmtId="0" fontId="0" fillId="0" borderId="0" xfId="0" applyAlignment="1">
      <alignment horizontal="center" vertical="top"/>
    </xf>
    <xf numFmtId="0" fontId="1" fillId="0" borderId="0" xfId="0" applyFont="1" applyAlignment="1">
      <alignment horizontal="center" vertical="top" wrapText="1"/>
    </xf>
    <xf numFmtId="1" fontId="0" fillId="0" borderId="0" xfId="0" applyNumberFormat="1" applyAlignment="1">
      <alignment horizontal="center"/>
    </xf>
    <xf numFmtId="0" fontId="0" fillId="0" borderId="0" xfId="0" applyAlignment="1">
      <alignment horizontal="left" indent="1"/>
    </xf>
    <xf numFmtId="0" fontId="0" fillId="0" borderId="0" xfId="0" applyAlignment="1">
      <alignment horizontal="left" indent="2"/>
    </xf>
    <xf numFmtId="0" fontId="0" fillId="0" borderId="0" xfId="0" applyNumberFormat="1"/>
    <xf numFmtId="164" fontId="1" fillId="3" borderId="2" xfId="0" applyNumberFormat="1" applyFont="1" applyFill="1" applyBorder="1" applyAlignment="1">
      <alignment horizontal="center" vertical="top" wrapText="1"/>
    </xf>
    <xf numFmtId="0" fontId="1" fillId="3" borderId="0" xfId="0" applyFont="1" applyFill="1"/>
    <xf numFmtId="0" fontId="1" fillId="4" borderId="2" xfId="0" applyFont="1" applyFill="1" applyBorder="1" applyAlignment="1">
      <alignment horizontal="center" vertical="center"/>
    </xf>
    <xf numFmtId="0" fontId="1" fillId="4" borderId="2" xfId="0" applyFont="1" applyFill="1" applyBorder="1" applyAlignment="1">
      <alignment horizontal="center" vertical="top" wrapText="1"/>
    </xf>
    <xf numFmtId="0" fontId="0" fillId="4" borderId="0" xfId="0" applyFill="1" applyAlignment="1">
      <alignment horizontal="right" vertical="top"/>
    </xf>
    <xf numFmtId="0" fontId="0" fillId="4" borderId="0" xfId="0" applyFill="1" applyAlignment="1">
      <alignment horizontal="center" vertical="top"/>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1.xlsx]Question.5!PivotTable5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Question.5!$I$3</c:f>
              <c:strCache>
                <c:ptCount val="1"/>
                <c:pt idx="0">
                  <c:v>Sum of Total_Revenue</c:v>
                </c:pt>
              </c:strCache>
            </c:strRef>
          </c:tx>
          <c:spPr>
            <a:ln w="28575" cap="rnd">
              <a:solidFill>
                <a:schemeClr val="accent1"/>
              </a:solidFill>
              <a:round/>
            </a:ln>
            <a:effectLst/>
          </c:spPr>
          <c:marker>
            <c:symbol val="none"/>
          </c:marker>
          <c:cat>
            <c:multiLvlStrRef>
              <c:f>Question.5!$H$4:$H$52</c:f>
              <c:multiLvlStrCache>
                <c:ptCount val="30"/>
                <c:lvl>
                  <c:pt idx="0">
                    <c:v>Premium</c:v>
                  </c:pt>
                  <c:pt idx="1">
                    <c:v>Standard</c:v>
                  </c:pt>
                  <c:pt idx="2">
                    <c:v>Basic</c:v>
                  </c:pt>
                  <c:pt idx="3">
                    <c:v>Family</c:v>
                  </c:pt>
                  <c:pt idx="4">
                    <c:v>Standard</c:v>
                  </c:pt>
                  <c:pt idx="5">
                    <c:v>Family</c:v>
                  </c:pt>
                  <c:pt idx="6">
                    <c:v>Premium</c:v>
                  </c:pt>
                  <c:pt idx="7">
                    <c:v>Standard</c:v>
                  </c:pt>
                  <c:pt idx="8">
                    <c:v>Basic</c:v>
                  </c:pt>
                  <c:pt idx="9">
                    <c:v>Basic</c:v>
                  </c:pt>
                  <c:pt idx="10">
                    <c:v>Family</c:v>
                  </c:pt>
                  <c:pt idx="11">
                    <c:v>Standard</c:v>
                  </c:pt>
                  <c:pt idx="12">
                    <c:v>Standard</c:v>
                  </c:pt>
                  <c:pt idx="13">
                    <c:v>Family</c:v>
                  </c:pt>
                  <c:pt idx="14">
                    <c:v>Premium</c:v>
                  </c:pt>
                  <c:pt idx="15">
                    <c:v>Basic</c:v>
                  </c:pt>
                  <c:pt idx="16">
                    <c:v>Family</c:v>
                  </c:pt>
                  <c:pt idx="17">
                    <c:v>Standard</c:v>
                  </c:pt>
                  <c:pt idx="18">
                    <c:v>Basic</c:v>
                  </c:pt>
                  <c:pt idx="19">
                    <c:v>Family</c:v>
                  </c:pt>
                  <c:pt idx="20">
                    <c:v>Premium</c:v>
                  </c:pt>
                  <c:pt idx="21">
                    <c:v>Standard</c:v>
                  </c:pt>
                  <c:pt idx="22">
                    <c:v>Basic</c:v>
                  </c:pt>
                  <c:pt idx="23">
                    <c:v>Family</c:v>
                  </c:pt>
                  <c:pt idx="24">
                    <c:v>Premium</c:v>
                  </c:pt>
                  <c:pt idx="25">
                    <c:v>Standard</c:v>
                  </c:pt>
                  <c:pt idx="26">
                    <c:v>Basic</c:v>
                  </c:pt>
                  <c:pt idx="27">
                    <c:v>Standard</c:v>
                  </c:pt>
                  <c:pt idx="28">
                    <c:v>Basic</c:v>
                  </c:pt>
                  <c:pt idx="29">
                    <c:v>Premium</c:v>
                  </c:pt>
                </c:lvl>
                <c:lvl>
                  <c:pt idx="0">
                    <c:v>no</c:v>
                  </c:pt>
                  <c:pt idx="2">
                    <c:v>yes</c:v>
                  </c:pt>
                  <c:pt idx="5">
                    <c:v>no</c:v>
                  </c:pt>
                  <c:pt idx="8">
                    <c:v>yes</c:v>
                  </c:pt>
                  <c:pt idx="9">
                    <c:v>no</c:v>
                  </c:pt>
                  <c:pt idx="12">
                    <c:v>yes</c:v>
                  </c:pt>
                  <c:pt idx="13">
                    <c:v>no</c:v>
                  </c:pt>
                  <c:pt idx="15">
                    <c:v>yes</c:v>
                  </c:pt>
                  <c:pt idx="18">
                    <c:v>no</c:v>
                  </c:pt>
                  <c:pt idx="22">
                    <c:v>yes</c:v>
                  </c:pt>
                  <c:pt idx="26">
                    <c:v>no</c:v>
                  </c:pt>
                  <c:pt idx="28">
                    <c:v>yes</c:v>
                  </c:pt>
                </c:lvl>
                <c:lvl>
                  <c:pt idx="0">
                    <c:v>Bengaluru</c:v>
                  </c:pt>
                  <c:pt idx="5">
                    <c:v>Delhi</c:v>
                  </c:pt>
                  <c:pt idx="9">
                    <c:v>Hyderabad</c:v>
                  </c:pt>
                  <c:pt idx="13">
                    <c:v>Kolkata</c:v>
                  </c:pt>
                  <c:pt idx="18">
                    <c:v>Mumbai</c:v>
                  </c:pt>
                  <c:pt idx="26">
                    <c:v>Pune</c:v>
                  </c:pt>
                </c:lvl>
              </c:multiLvlStrCache>
            </c:multiLvlStrRef>
          </c:cat>
          <c:val>
            <c:numRef>
              <c:f>Question.5!$I$4:$I$52</c:f>
              <c:numCache>
                <c:formatCode>0</c:formatCode>
                <c:ptCount val="30"/>
                <c:pt idx="0">
                  <c:v>17760</c:v>
                </c:pt>
                <c:pt idx="1">
                  <c:v>11640</c:v>
                </c:pt>
                <c:pt idx="2">
                  <c:v>5066.6666666666661</c:v>
                </c:pt>
                <c:pt idx="3">
                  <c:v>17916.666666666668</c:v>
                </c:pt>
                <c:pt idx="4">
                  <c:v>6480</c:v>
                </c:pt>
                <c:pt idx="5">
                  <c:v>36333.333333333336</c:v>
                </c:pt>
                <c:pt idx="6">
                  <c:v>240</c:v>
                </c:pt>
                <c:pt idx="7">
                  <c:v>1000</c:v>
                </c:pt>
                <c:pt idx="8">
                  <c:v>15146.666666666666</c:v>
                </c:pt>
                <c:pt idx="9">
                  <c:v>5520</c:v>
                </c:pt>
                <c:pt idx="10">
                  <c:v>583.33333333333337</c:v>
                </c:pt>
                <c:pt idx="11">
                  <c:v>14240</c:v>
                </c:pt>
                <c:pt idx="12">
                  <c:v>11520</c:v>
                </c:pt>
                <c:pt idx="13">
                  <c:v>2500</c:v>
                </c:pt>
                <c:pt idx="14">
                  <c:v>11880</c:v>
                </c:pt>
                <c:pt idx="15">
                  <c:v>346.66666666666669</c:v>
                </c:pt>
                <c:pt idx="16">
                  <c:v>6500</c:v>
                </c:pt>
                <c:pt idx="17">
                  <c:v>16560</c:v>
                </c:pt>
                <c:pt idx="18">
                  <c:v>9360.0000000000018</c:v>
                </c:pt>
                <c:pt idx="19">
                  <c:v>2333.3333333333335</c:v>
                </c:pt>
                <c:pt idx="20">
                  <c:v>31680.000000000004</c:v>
                </c:pt>
                <c:pt idx="21">
                  <c:v>15600</c:v>
                </c:pt>
                <c:pt idx="22">
                  <c:v>2000</c:v>
                </c:pt>
                <c:pt idx="23">
                  <c:v>15916.666666666666</c:v>
                </c:pt>
                <c:pt idx="24">
                  <c:v>5160</c:v>
                </c:pt>
                <c:pt idx="25">
                  <c:v>3120</c:v>
                </c:pt>
                <c:pt idx="26">
                  <c:v>2373.3333333333335</c:v>
                </c:pt>
                <c:pt idx="27">
                  <c:v>14840</c:v>
                </c:pt>
                <c:pt idx="28">
                  <c:v>693.33333333333337</c:v>
                </c:pt>
                <c:pt idx="29">
                  <c:v>7980</c:v>
                </c:pt>
              </c:numCache>
            </c:numRef>
          </c:val>
          <c:smooth val="0"/>
          <c:extLst>
            <c:ext xmlns:c16="http://schemas.microsoft.com/office/drawing/2014/chart" uri="{C3380CC4-5D6E-409C-BE32-E72D297353CC}">
              <c16:uniqueId val="{00000000-402E-4F54-BC30-0710AD15560F}"/>
            </c:ext>
          </c:extLst>
        </c:ser>
        <c:ser>
          <c:idx val="1"/>
          <c:order val="1"/>
          <c:tx>
            <c:strRef>
              <c:f>Question.5!$J$3</c:f>
              <c:strCache>
                <c:ptCount val="1"/>
                <c:pt idx="0">
                  <c:v>Average Revenue</c:v>
                </c:pt>
              </c:strCache>
            </c:strRef>
          </c:tx>
          <c:spPr>
            <a:ln w="28575" cap="rnd">
              <a:solidFill>
                <a:schemeClr val="accent2"/>
              </a:solidFill>
              <a:round/>
            </a:ln>
            <a:effectLst/>
          </c:spPr>
          <c:marker>
            <c:symbol val="none"/>
          </c:marker>
          <c:cat>
            <c:multiLvlStrRef>
              <c:f>Question.5!$H$4:$H$52</c:f>
              <c:multiLvlStrCache>
                <c:ptCount val="30"/>
                <c:lvl>
                  <c:pt idx="0">
                    <c:v>Premium</c:v>
                  </c:pt>
                  <c:pt idx="1">
                    <c:v>Standard</c:v>
                  </c:pt>
                  <c:pt idx="2">
                    <c:v>Basic</c:v>
                  </c:pt>
                  <c:pt idx="3">
                    <c:v>Family</c:v>
                  </c:pt>
                  <c:pt idx="4">
                    <c:v>Standard</c:v>
                  </c:pt>
                  <c:pt idx="5">
                    <c:v>Family</c:v>
                  </c:pt>
                  <c:pt idx="6">
                    <c:v>Premium</c:v>
                  </c:pt>
                  <c:pt idx="7">
                    <c:v>Standard</c:v>
                  </c:pt>
                  <c:pt idx="8">
                    <c:v>Basic</c:v>
                  </c:pt>
                  <c:pt idx="9">
                    <c:v>Basic</c:v>
                  </c:pt>
                  <c:pt idx="10">
                    <c:v>Family</c:v>
                  </c:pt>
                  <c:pt idx="11">
                    <c:v>Standard</c:v>
                  </c:pt>
                  <c:pt idx="12">
                    <c:v>Standard</c:v>
                  </c:pt>
                  <c:pt idx="13">
                    <c:v>Family</c:v>
                  </c:pt>
                  <c:pt idx="14">
                    <c:v>Premium</c:v>
                  </c:pt>
                  <c:pt idx="15">
                    <c:v>Basic</c:v>
                  </c:pt>
                  <c:pt idx="16">
                    <c:v>Family</c:v>
                  </c:pt>
                  <c:pt idx="17">
                    <c:v>Standard</c:v>
                  </c:pt>
                  <c:pt idx="18">
                    <c:v>Basic</c:v>
                  </c:pt>
                  <c:pt idx="19">
                    <c:v>Family</c:v>
                  </c:pt>
                  <c:pt idx="20">
                    <c:v>Premium</c:v>
                  </c:pt>
                  <c:pt idx="21">
                    <c:v>Standard</c:v>
                  </c:pt>
                  <c:pt idx="22">
                    <c:v>Basic</c:v>
                  </c:pt>
                  <c:pt idx="23">
                    <c:v>Family</c:v>
                  </c:pt>
                  <c:pt idx="24">
                    <c:v>Premium</c:v>
                  </c:pt>
                  <c:pt idx="25">
                    <c:v>Standard</c:v>
                  </c:pt>
                  <c:pt idx="26">
                    <c:v>Basic</c:v>
                  </c:pt>
                  <c:pt idx="27">
                    <c:v>Standard</c:v>
                  </c:pt>
                  <c:pt idx="28">
                    <c:v>Basic</c:v>
                  </c:pt>
                  <c:pt idx="29">
                    <c:v>Premium</c:v>
                  </c:pt>
                </c:lvl>
                <c:lvl>
                  <c:pt idx="0">
                    <c:v>no</c:v>
                  </c:pt>
                  <c:pt idx="2">
                    <c:v>yes</c:v>
                  </c:pt>
                  <c:pt idx="5">
                    <c:v>no</c:v>
                  </c:pt>
                  <c:pt idx="8">
                    <c:v>yes</c:v>
                  </c:pt>
                  <c:pt idx="9">
                    <c:v>no</c:v>
                  </c:pt>
                  <c:pt idx="12">
                    <c:v>yes</c:v>
                  </c:pt>
                  <c:pt idx="13">
                    <c:v>no</c:v>
                  </c:pt>
                  <c:pt idx="15">
                    <c:v>yes</c:v>
                  </c:pt>
                  <c:pt idx="18">
                    <c:v>no</c:v>
                  </c:pt>
                  <c:pt idx="22">
                    <c:v>yes</c:v>
                  </c:pt>
                  <c:pt idx="26">
                    <c:v>no</c:v>
                  </c:pt>
                  <c:pt idx="28">
                    <c:v>yes</c:v>
                  </c:pt>
                </c:lvl>
                <c:lvl>
                  <c:pt idx="0">
                    <c:v>Bengaluru</c:v>
                  </c:pt>
                  <c:pt idx="5">
                    <c:v>Delhi</c:v>
                  </c:pt>
                  <c:pt idx="9">
                    <c:v>Hyderabad</c:v>
                  </c:pt>
                  <c:pt idx="13">
                    <c:v>Kolkata</c:v>
                  </c:pt>
                  <c:pt idx="18">
                    <c:v>Mumbai</c:v>
                  </c:pt>
                  <c:pt idx="26">
                    <c:v>Pune</c:v>
                  </c:pt>
                </c:lvl>
              </c:multiLvlStrCache>
            </c:multiLvlStrRef>
          </c:cat>
          <c:val>
            <c:numRef>
              <c:f>Question.5!$J$4:$J$52</c:f>
              <c:numCache>
                <c:formatCode>0</c:formatCode>
                <c:ptCount val="30"/>
                <c:pt idx="0">
                  <c:v>17760</c:v>
                </c:pt>
                <c:pt idx="1">
                  <c:v>11640</c:v>
                </c:pt>
                <c:pt idx="2">
                  <c:v>5066.6666666666661</c:v>
                </c:pt>
                <c:pt idx="3">
                  <c:v>17916.666666666668</c:v>
                </c:pt>
                <c:pt idx="4">
                  <c:v>6480</c:v>
                </c:pt>
                <c:pt idx="5">
                  <c:v>36333.333333333336</c:v>
                </c:pt>
                <c:pt idx="6">
                  <c:v>240</c:v>
                </c:pt>
                <c:pt idx="7">
                  <c:v>1000</c:v>
                </c:pt>
                <c:pt idx="8">
                  <c:v>15146.666666666666</c:v>
                </c:pt>
                <c:pt idx="9">
                  <c:v>5520</c:v>
                </c:pt>
                <c:pt idx="10">
                  <c:v>583.33333333333337</c:v>
                </c:pt>
                <c:pt idx="11">
                  <c:v>14240</c:v>
                </c:pt>
                <c:pt idx="12">
                  <c:v>5760</c:v>
                </c:pt>
                <c:pt idx="13">
                  <c:v>2500</c:v>
                </c:pt>
                <c:pt idx="14">
                  <c:v>5940</c:v>
                </c:pt>
                <c:pt idx="15">
                  <c:v>346.66666666666669</c:v>
                </c:pt>
                <c:pt idx="16">
                  <c:v>6500</c:v>
                </c:pt>
                <c:pt idx="17">
                  <c:v>16560</c:v>
                </c:pt>
                <c:pt idx="18">
                  <c:v>4680.0000000000009</c:v>
                </c:pt>
                <c:pt idx="19">
                  <c:v>2333.3333333333335</c:v>
                </c:pt>
                <c:pt idx="20">
                  <c:v>31680.000000000004</c:v>
                </c:pt>
                <c:pt idx="21">
                  <c:v>7800</c:v>
                </c:pt>
                <c:pt idx="22">
                  <c:v>2000</c:v>
                </c:pt>
                <c:pt idx="23">
                  <c:v>15916.666666666666</c:v>
                </c:pt>
                <c:pt idx="24">
                  <c:v>5160</c:v>
                </c:pt>
                <c:pt idx="25">
                  <c:v>3120</c:v>
                </c:pt>
                <c:pt idx="26">
                  <c:v>2373.3333333333335</c:v>
                </c:pt>
                <c:pt idx="27">
                  <c:v>7420</c:v>
                </c:pt>
                <c:pt idx="28">
                  <c:v>693.33333333333337</c:v>
                </c:pt>
                <c:pt idx="29">
                  <c:v>7980</c:v>
                </c:pt>
              </c:numCache>
            </c:numRef>
          </c:val>
          <c:smooth val="0"/>
          <c:extLst>
            <c:ext xmlns:c16="http://schemas.microsoft.com/office/drawing/2014/chart" uri="{C3380CC4-5D6E-409C-BE32-E72D297353CC}">
              <c16:uniqueId val="{00000001-402E-4F54-BC30-0710AD15560F}"/>
            </c:ext>
          </c:extLst>
        </c:ser>
        <c:dLbls>
          <c:showLegendKey val="0"/>
          <c:showVal val="0"/>
          <c:showCatName val="0"/>
          <c:showSerName val="0"/>
          <c:showPercent val="0"/>
          <c:showBubbleSize val="0"/>
        </c:dLbls>
        <c:smooth val="0"/>
        <c:axId val="1824229087"/>
        <c:axId val="1824225727"/>
      </c:lineChart>
      <c:catAx>
        <c:axId val="182422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225727"/>
        <c:crosses val="autoZero"/>
        <c:auto val="1"/>
        <c:lblAlgn val="ctr"/>
        <c:lblOffset val="100"/>
        <c:noMultiLvlLbl val="0"/>
      </c:catAx>
      <c:valAx>
        <c:axId val="18242257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22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1.xlsx]Question.5!PivotTable5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city+membership_type+referred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58092738407698"/>
          <c:y val="0.21324287416102508"/>
          <c:w val="0.70567014181733123"/>
          <c:h val="0.37562367434697969"/>
        </c:manualLayout>
      </c:layout>
      <c:bar3DChart>
        <c:barDir val="col"/>
        <c:grouping val="clustered"/>
        <c:varyColors val="0"/>
        <c:ser>
          <c:idx val="0"/>
          <c:order val="0"/>
          <c:tx>
            <c:strRef>
              <c:f>Question.5!$I$3</c:f>
              <c:strCache>
                <c:ptCount val="1"/>
                <c:pt idx="0">
                  <c:v>Sum of Total_Revenue</c:v>
                </c:pt>
              </c:strCache>
            </c:strRef>
          </c:tx>
          <c:spPr>
            <a:solidFill>
              <a:schemeClr val="accent1"/>
            </a:solidFill>
            <a:ln>
              <a:noFill/>
            </a:ln>
            <a:effectLst/>
            <a:sp3d/>
          </c:spPr>
          <c:invertIfNegative val="0"/>
          <c:cat>
            <c:multiLvlStrRef>
              <c:f>Question.5!$H$4:$H$52</c:f>
              <c:multiLvlStrCache>
                <c:ptCount val="30"/>
                <c:lvl>
                  <c:pt idx="0">
                    <c:v>Premium</c:v>
                  </c:pt>
                  <c:pt idx="1">
                    <c:v>Standard</c:v>
                  </c:pt>
                  <c:pt idx="2">
                    <c:v>Basic</c:v>
                  </c:pt>
                  <c:pt idx="3">
                    <c:v>Family</c:v>
                  </c:pt>
                  <c:pt idx="4">
                    <c:v>Standard</c:v>
                  </c:pt>
                  <c:pt idx="5">
                    <c:v>Family</c:v>
                  </c:pt>
                  <c:pt idx="6">
                    <c:v>Premium</c:v>
                  </c:pt>
                  <c:pt idx="7">
                    <c:v>Standard</c:v>
                  </c:pt>
                  <c:pt idx="8">
                    <c:v>Basic</c:v>
                  </c:pt>
                  <c:pt idx="9">
                    <c:v>Basic</c:v>
                  </c:pt>
                  <c:pt idx="10">
                    <c:v>Family</c:v>
                  </c:pt>
                  <c:pt idx="11">
                    <c:v>Standard</c:v>
                  </c:pt>
                  <c:pt idx="12">
                    <c:v>Standard</c:v>
                  </c:pt>
                  <c:pt idx="13">
                    <c:v>Family</c:v>
                  </c:pt>
                  <c:pt idx="14">
                    <c:v>Premium</c:v>
                  </c:pt>
                  <c:pt idx="15">
                    <c:v>Basic</c:v>
                  </c:pt>
                  <c:pt idx="16">
                    <c:v>Family</c:v>
                  </c:pt>
                  <c:pt idx="17">
                    <c:v>Standard</c:v>
                  </c:pt>
                  <c:pt idx="18">
                    <c:v>Basic</c:v>
                  </c:pt>
                  <c:pt idx="19">
                    <c:v>Family</c:v>
                  </c:pt>
                  <c:pt idx="20">
                    <c:v>Premium</c:v>
                  </c:pt>
                  <c:pt idx="21">
                    <c:v>Standard</c:v>
                  </c:pt>
                  <c:pt idx="22">
                    <c:v>Basic</c:v>
                  </c:pt>
                  <c:pt idx="23">
                    <c:v>Family</c:v>
                  </c:pt>
                  <c:pt idx="24">
                    <c:v>Premium</c:v>
                  </c:pt>
                  <c:pt idx="25">
                    <c:v>Standard</c:v>
                  </c:pt>
                  <c:pt idx="26">
                    <c:v>Basic</c:v>
                  </c:pt>
                  <c:pt idx="27">
                    <c:v>Standard</c:v>
                  </c:pt>
                  <c:pt idx="28">
                    <c:v>Basic</c:v>
                  </c:pt>
                  <c:pt idx="29">
                    <c:v>Premium</c:v>
                  </c:pt>
                </c:lvl>
                <c:lvl>
                  <c:pt idx="0">
                    <c:v>no</c:v>
                  </c:pt>
                  <c:pt idx="2">
                    <c:v>yes</c:v>
                  </c:pt>
                  <c:pt idx="5">
                    <c:v>no</c:v>
                  </c:pt>
                  <c:pt idx="8">
                    <c:v>yes</c:v>
                  </c:pt>
                  <c:pt idx="9">
                    <c:v>no</c:v>
                  </c:pt>
                  <c:pt idx="12">
                    <c:v>yes</c:v>
                  </c:pt>
                  <c:pt idx="13">
                    <c:v>no</c:v>
                  </c:pt>
                  <c:pt idx="15">
                    <c:v>yes</c:v>
                  </c:pt>
                  <c:pt idx="18">
                    <c:v>no</c:v>
                  </c:pt>
                  <c:pt idx="22">
                    <c:v>yes</c:v>
                  </c:pt>
                  <c:pt idx="26">
                    <c:v>no</c:v>
                  </c:pt>
                  <c:pt idx="28">
                    <c:v>yes</c:v>
                  </c:pt>
                </c:lvl>
                <c:lvl>
                  <c:pt idx="0">
                    <c:v>Bengaluru</c:v>
                  </c:pt>
                  <c:pt idx="5">
                    <c:v>Delhi</c:v>
                  </c:pt>
                  <c:pt idx="9">
                    <c:v>Hyderabad</c:v>
                  </c:pt>
                  <c:pt idx="13">
                    <c:v>Kolkata</c:v>
                  </c:pt>
                  <c:pt idx="18">
                    <c:v>Mumbai</c:v>
                  </c:pt>
                  <c:pt idx="26">
                    <c:v>Pune</c:v>
                  </c:pt>
                </c:lvl>
              </c:multiLvlStrCache>
            </c:multiLvlStrRef>
          </c:cat>
          <c:val>
            <c:numRef>
              <c:f>Question.5!$I$4:$I$52</c:f>
              <c:numCache>
                <c:formatCode>0</c:formatCode>
                <c:ptCount val="30"/>
                <c:pt idx="0">
                  <c:v>17760</c:v>
                </c:pt>
                <c:pt idx="1">
                  <c:v>11640</c:v>
                </c:pt>
                <c:pt idx="2">
                  <c:v>5066.6666666666661</c:v>
                </c:pt>
                <c:pt idx="3">
                  <c:v>17916.666666666668</c:v>
                </c:pt>
                <c:pt idx="4">
                  <c:v>6480</c:v>
                </c:pt>
                <c:pt idx="5">
                  <c:v>36333.333333333336</c:v>
                </c:pt>
                <c:pt idx="6">
                  <c:v>240</c:v>
                </c:pt>
                <c:pt idx="7">
                  <c:v>1000</c:v>
                </c:pt>
                <c:pt idx="8">
                  <c:v>15146.666666666666</c:v>
                </c:pt>
                <c:pt idx="9">
                  <c:v>5520</c:v>
                </c:pt>
                <c:pt idx="10">
                  <c:v>583.33333333333337</c:v>
                </c:pt>
                <c:pt idx="11">
                  <c:v>14240</c:v>
                </c:pt>
                <c:pt idx="12">
                  <c:v>11520</c:v>
                </c:pt>
                <c:pt idx="13">
                  <c:v>2500</c:v>
                </c:pt>
                <c:pt idx="14">
                  <c:v>11880</c:v>
                </c:pt>
                <c:pt idx="15">
                  <c:v>346.66666666666669</c:v>
                </c:pt>
                <c:pt idx="16">
                  <c:v>6500</c:v>
                </c:pt>
                <c:pt idx="17">
                  <c:v>16560</c:v>
                </c:pt>
                <c:pt idx="18">
                  <c:v>9360.0000000000018</c:v>
                </c:pt>
                <c:pt idx="19">
                  <c:v>2333.3333333333335</c:v>
                </c:pt>
                <c:pt idx="20">
                  <c:v>31680.000000000004</c:v>
                </c:pt>
                <c:pt idx="21">
                  <c:v>15600</c:v>
                </c:pt>
                <c:pt idx="22">
                  <c:v>2000</c:v>
                </c:pt>
                <c:pt idx="23">
                  <c:v>15916.666666666666</c:v>
                </c:pt>
                <c:pt idx="24">
                  <c:v>5160</c:v>
                </c:pt>
                <c:pt idx="25">
                  <c:v>3120</c:v>
                </c:pt>
                <c:pt idx="26">
                  <c:v>2373.3333333333335</c:v>
                </c:pt>
                <c:pt idx="27">
                  <c:v>14840</c:v>
                </c:pt>
                <c:pt idx="28">
                  <c:v>693.33333333333337</c:v>
                </c:pt>
                <c:pt idx="29">
                  <c:v>7980</c:v>
                </c:pt>
              </c:numCache>
            </c:numRef>
          </c:val>
          <c:extLst>
            <c:ext xmlns:c16="http://schemas.microsoft.com/office/drawing/2014/chart" uri="{C3380CC4-5D6E-409C-BE32-E72D297353CC}">
              <c16:uniqueId val="{00000000-F306-4314-BB5E-A8CDC6AD3D00}"/>
            </c:ext>
          </c:extLst>
        </c:ser>
        <c:ser>
          <c:idx val="1"/>
          <c:order val="1"/>
          <c:tx>
            <c:strRef>
              <c:f>Question.5!$J$3</c:f>
              <c:strCache>
                <c:ptCount val="1"/>
                <c:pt idx="0">
                  <c:v>Average Revenue</c:v>
                </c:pt>
              </c:strCache>
            </c:strRef>
          </c:tx>
          <c:spPr>
            <a:solidFill>
              <a:schemeClr val="accent2"/>
            </a:solidFill>
            <a:ln>
              <a:noFill/>
            </a:ln>
            <a:effectLst/>
            <a:sp3d/>
          </c:spPr>
          <c:invertIfNegative val="0"/>
          <c:cat>
            <c:multiLvlStrRef>
              <c:f>Question.5!$H$4:$H$52</c:f>
              <c:multiLvlStrCache>
                <c:ptCount val="30"/>
                <c:lvl>
                  <c:pt idx="0">
                    <c:v>Premium</c:v>
                  </c:pt>
                  <c:pt idx="1">
                    <c:v>Standard</c:v>
                  </c:pt>
                  <c:pt idx="2">
                    <c:v>Basic</c:v>
                  </c:pt>
                  <c:pt idx="3">
                    <c:v>Family</c:v>
                  </c:pt>
                  <c:pt idx="4">
                    <c:v>Standard</c:v>
                  </c:pt>
                  <c:pt idx="5">
                    <c:v>Family</c:v>
                  </c:pt>
                  <c:pt idx="6">
                    <c:v>Premium</c:v>
                  </c:pt>
                  <c:pt idx="7">
                    <c:v>Standard</c:v>
                  </c:pt>
                  <c:pt idx="8">
                    <c:v>Basic</c:v>
                  </c:pt>
                  <c:pt idx="9">
                    <c:v>Basic</c:v>
                  </c:pt>
                  <c:pt idx="10">
                    <c:v>Family</c:v>
                  </c:pt>
                  <c:pt idx="11">
                    <c:v>Standard</c:v>
                  </c:pt>
                  <c:pt idx="12">
                    <c:v>Standard</c:v>
                  </c:pt>
                  <c:pt idx="13">
                    <c:v>Family</c:v>
                  </c:pt>
                  <c:pt idx="14">
                    <c:v>Premium</c:v>
                  </c:pt>
                  <c:pt idx="15">
                    <c:v>Basic</c:v>
                  </c:pt>
                  <c:pt idx="16">
                    <c:v>Family</c:v>
                  </c:pt>
                  <c:pt idx="17">
                    <c:v>Standard</c:v>
                  </c:pt>
                  <c:pt idx="18">
                    <c:v>Basic</c:v>
                  </c:pt>
                  <c:pt idx="19">
                    <c:v>Family</c:v>
                  </c:pt>
                  <c:pt idx="20">
                    <c:v>Premium</c:v>
                  </c:pt>
                  <c:pt idx="21">
                    <c:v>Standard</c:v>
                  </c:pt>
                  <c:pt idx="22">
                    <c:v>Basic</c:v>
                  </c:pt>
                  <c:pt idx="23">
                    <c:v>Family</c:v>
                  </c:pt>
                  <c:pt idx="24">
                    <c:v>Premium</c:v>
                  </c:pt>
                  <c:pt idx="25">
                    <c:v>Standard</c:v>
                  </c:pt>
                  <c:pt idx="26">
                    <c:v>Basic</c:v>
                  </c:pt>
                  <c:pt idx="27">
                    <c:v>Standard</c:v>
                  </c:pt>
                  <c:pt idx="28">
                    <c:v>Basic</c:v>
                  </c:pt>
                  <c:pt idx="29">
                    <c:v>Premium</c:v>
                  </c:pt>
                </c:lvl>
                <c:lvl>
                  <c:pt idx="0">
                    <c:v>no</c:v>
                  </c:pt>
                  <c:pt idx="2">
                    <c:v>yes</c:v>
                  </c:pt>
                  <c:pt idx="5">
                    <c:v>no</c:v>
                  </c:pt>
                  <c:pt idx="8">
                    <c:v>yes</c:v>
                  </c:pt>
                  <c:pt idx="9">
                    <c:v>no</c:v>
                  </c:pt>
                  <c:pt idx="12">
                    <c:v>yes</c:v>
                  </c:pt>
                  <c:pt idx="13">
                    <c:v>no</c:v>
                  </c:pt>
                  <c:pt idx="15">
                    <c:v>yes</c:v>
                  </c:pt>
                  <c:pt idx="18">
                    <c:v>no</c:v>
                  </c:pt>
                  <c:pt idx="22">
                    <c:v>yes</c:v>
                  </c:pt>
                  <c:pt idx="26">
                    <c:v>no</c:v>
                  </c:pt>
                  <c:pt idx="28">
                    <c:v>yes</c:v>
                  </c:pt>
                </c:lvl>
                <c:lvl>
                  <c:pt idx="0">
                    <c:v>Bengaluru</c:v>
                  </c:pt>
                  <c:pt idx="5">
                    <c:v>Delhi</c:v>
                  </c:pt>
                  <c:pt idx="9">
                    <c:v>Hyderabad</c:v>
                  </c:pt>
                  <c:pt idx="13">
                    <c:v>Kolkata</c:v>
                  </c:pt>
                  <c:pt idx="18">
                    <c:v>Mumbai</c:v>
                  </c:pt>
                  <c:pt idx="26">
                    <c:v>Pune</c:v>
                  </c:pt>
                </c:lvl>
              </c:multiLvlStrCache>
            </c:multiLvlStrRef>
          </c:cat>
          <c:val>
            <c:numRef>
              <c:f>Question.5!$J$4:$J$52</c:f>
              <c:numCache>
                <c:formatCode>0</c:formatCode>
                <c:ptCount val="30"/>
                <c:pt idx="0">
                  <c:v>17760</c:v>
                </c:pt>
                <c:pt idx="1">
                  <c:v>11640</c:v>
                </c:pt>
                <c:pt idx="2">
                  <c:v>5066.6666666666661</c:v>
                </c:pt>
                <c:pt idx="3">
                  <c:v>17916.666666666668</c:v>
                </c:pt>
                <c:pt idx="4">
                  <c:v>6480</c:v>
                </c:pt>
                <c:pt idx="5">
                  <c:v>36333.333333333336</c:v>
                </c:pt>
                <c:pt idx="6">
                  <c:v>240</c:v>
                </c:pt>
                <c:pt idx="7">
                  <c:v>1000</c:v>
                </c:pt>
                <c:pt idx="8">
                  <c:v>15146.666666666666</c:v>
                </c:pt>
                <c:pt idx="9">
                  <c:v>5520</c:v>
                </c:pt>
                <c:pt idx="10">
                  <c:v>583.33333333333337</c:v>
                </c:pt>
                <c:pt idx="11">
                  <c:v>14240</c:v>
                </c:pt>
                <c:pt idx="12">
                  <c:v>5760</c:v>
                </c:pt>
                <c:pt idx="13">
                  <c:v>2500</c:v>
                </c:pt>
                <c:pt idx="14">
                  <c:v>5940</c:v>
                </c:pt>
                <c:pt idx="15">
                  <c:v>346.66666666666669</c:v>
                </c:pt>
                <c:pt idx="16">
                  <c:v>6500</c:v>
                </c:pt>
                <c:pt idx="17">
                  <c:v>16560</c:v>
                </c:pt>
                <c:pt idx="18">
                  <c:v>4680.0000000000009</c:v>
                </c:pt>
                <c:pt idx="19">
                  <c:v>2333.3333333333335</c:v>
                </c:pt>
                <c:pt idx="20">
                  <c:v>31680.000000000004</c:v>
                </c:pt>
                <c:pt idx="21">
                  <c:v>7800</c:v>
                </c:pt>
                <c:pt idx="22">
                  <c:v>2000</c:v>
                </c:pt>
                <c:pt idx="23">
                  <c:v>15916.666666666666</c:v>
                </c:pt>
                <c:pt idx="24">
                  <c:v>5160</c:v>
                </c:pt>
                <c:pt idx="25">
                  <c:v>3120</c:v>
                </c:pt>
                <c:pt idx="26">
                  <c:v>2373.3333333333335</c:v>
                </c:pt>
                <c:pt idx="27">
                  <c:v>7420</c:v>
                </c:pt>
                <c:pt idx="28">
                  <c:v>693.33333333333337</c:v>
                </c:pt>
                <c:pt idx="29">
                  <c:v>7980</c:v>
                </c:pt>
              </c:numCache>
            </c:numRef>
          </c:val>
          <c:extLst>
            <c:ext xmlns:c16="http://schemas.microsoft.com/office/drawing/2014/chart" uri="{C3380CC4-5D6E-409C-BE32-E72D297353CC}">
              <c16:uniqueId val="{00000001-F306-4314-BB5E-A8CDC6AD3D00}"/>
            </c:ext>
          </c:extLst>
        </c:ser>
        <c:dLbls>
          <c:showLegendKey val="0"/>
          <c:showVal val="0"/>
          <c:showCatName val="0"/>
          <c:showSerName val="0"/>
          <c:showPercent val="0"/>
          <c:showBubbleSize val="0"/>
        </c:dLbls>
        <c:gapWidth val="150"/>
        <c:shape val="box"/>
        <c:axId val="1824200767"/>
        <c:axId val="1824215167"/>
        <c:axId val="0"/>
      </c:bar3DChart>
      <c:catAx>
        <c:axId val="1824200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215167"/>
        <c:crosses val="autoZero"/>
        <c:auto val="1"/>
        <c:lblAlgn val="ctr"/>
        <c:lblOffset val="100"/>
        <c:noMultiLvlLbl val="0"/>
      </c:catAx>
      <c:valAx>
        <c:axId val="18242151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20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5</xdr:row>
      <xdr:rowOff>0</xdr:rowOff>
    </xdr:from>
    <xdr:to>
      <xdr:col>15</xdr:col>
      <xdr:colOff>6350</xdr:colOff>
      <xdr:row>19</xdr:row>
      <xdr:rowOff>165100</xdr:rowOff>
    </xdr:to>
    <xdr:graphicFrame macro="">
      <xdr:nvGraphicFramePr>
        <xdr:cNvPr id="2" name="Chart 1">
          <a:extLst>
            <a:ext uri="{FF2B5EF4-FFF2-40B4-BE49-F238E27FC236}">
              <a16:creationId xmlns:a16="http://schemas.microsoft.com/office/drawing/2014/main" id="{94DC1579-ED78-4029-82AC-12CA7631F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584200</xdr:colOff>
      <xdr:row>21</xdr:row>
      <xdr:rowOff>165100</xdr:rowOff>
    </xdr:from>
    <xdr:to>
      <xdr:col>17</xdr:col>
      <xdr:colOff>323850</xdr:colOff>
      <xdr:row>40</xdr:row>
      <xdr:rowOff>107950</xdr:rowOff>
    </xdr:to>
    <xdr:graphicFrame macro="">
      <xdr:nvGraphicFramePr>
        <xdr:cNvPr id="3" name="Chart 2">
          <a:extLst>
            <a:ext uri="{FF2B5EF4-FFF2-40B4-BE49-F238E27FC236}">
              <a16:creationId xmlns:a16="http://schemas.microsoft.com/office/drawing/2014/main" id="{F913104F-68DE-4D11-BC11-1CD56F878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0</xdr:colOff>
      <xdr:row>1</xdr:row>
      <xdr:rowOff>0</xdr:rowOff>
    </xdr:from>
    <xdr:to>
      <xdr:col>19</xdr:col>
      <xdr:colOff>0</xdr:colOff>
      <xdr:row>5</xdr:row>
      <xdr:rowOff>127000</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AB30A7D6-10ED-44CB-857C-3B675A21730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353800" y="184150"/>
              <a:ext cx="1828800" cy="86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6</xdr:row>
      <xdr:rowOff>0</xdr:rowOff>
    </xdr:from>
    <xdr:to>
      <xdr:col>19</xdr:col>
      <xdr:colOff>0</xdr:colOff>
      <xdr:row>10</xdr:row>
      <xdr:rowOff>177800</xdr:rowOff>
    </xdr:to>
    <mc:AlternateContent xmlns:mc="http://schemas.openxmlformats.org/markup-compatibility/2006">
      <mc:Choice xmlns:a14="http://schemas.microsoft.com/office/drawing/2010/main" Requires="a14">
        <xdr:graphicFrame macro="">
          <xdr:nvGraphicFramePr>
            <xdr:cNvPr id="5" name="Membership_Type">
              <a:extLst>
                <a:ext uri="{FF2B5EF4-FFF2-40B4-BE49-F238E27FC236}">
                  <a16:creationId xmlns:a16="http://schemas.microsoft.com/office/drawing/2014/main" id="{2FB5BA91-E080-4D3D-BAA1-9906AC38110F}"/>
                </a:ext>
              </a:extLst>
            </xdr:cNvPr>
            <xdr:cNvGraphicFramePr/>
          </xdr:nvGraphicFramePr>
          <xdr:xfrm>
            <a:off x="0" y="0"/>
            <a:ext cx="0" cy="0"/>
          </xdr:xfrm>
          <a:graphic>
            <a:graphicData uri="http://schemas.microsoft.com/office/drawing/2010/slicer">
              <sle:slicer xmlns:sle="http://schemas.microsoft.com/office/drawing/2010/slicer" name="Membership_Type"/>
            </a:graphicData>
          </a:graphic>
        </xdr:graphicFrame>
      </mc:Choice>
      <mc:Fallback>
        <xdr:sp macro="" textlink="">
          <xdr:nvSpPr>
            <xdr:cNvPr id="0" name=""/>
            <xdr:cNvSpPr>
              <a:spLocks noTextEdit="1"/>
            </xdr:cNvSpPr>
          </xdr:nvSpPr>
          <xdr:spPr>
            <a:xfrm>
              <a:off x="11353800" y="110490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12</xdr:row>
      <xdr:rowOff>0</xdr:rowOff>
    </xdr:from>
    <xdr:to>
      <xdr:col>19</xdr:col>
      <xdr:colOff>0</xdr:colOff>
      <xdr:row>16</xdr:row>
      <xdr:rowOff>177800</xdr:rowOff>
    </xdr:to>
    <mc:AlternateContent xmlns:mc="http://schemas.openxmlformats.org/markup-compatibility/2006">
      <mc:Choice xmlns:a14="http://schemas.microsoft.com/office/drawing/2010/main" Requires="a14">
        <xdr:graphicFrame macro="">
          <xdr:nvGraphicFramePr>
            <xdr:cNvPr id="6" name="Referred">
              <a:extLst>
                <a:ext uri="{FF2B5EF4-FFF2-40B4-BE49-F238E27FC236}">
                  <a16:creationId xmlns:a16="http://schemas.microsoft.com/office/drawing/2014/main" id="{8F32DAD3-D45E-40C6-95CA-674325AC969A}"/>
                </a:ext>
              </a:extLst>
            </xdr:cNvPr>
            <xdr:cNvGraphicFramePr/>
          </xdr:nvGraphicFramePr>
          <xdr:xfrm>
            <a:off x="0" y="0"/>
            <a:ext cx="0" cy="0"/>
          </xdr:xfrm>
          <a:graphic>
            <a:graphicData uri="http://schemas.microsoft.com/office/drawing/2010/slicer">
              <sle:slicer xmlns:sle="http://schemas.microsoft.com/office/drawing/2010/slicer" name="Referred"/>
            </a:graphicData>
          </a:graphic>
        </xdr:graphicFrame>
      </mc:Choice>
      <mc:Fallback>
        <xdr:sp macro="" textlink="">
          <xdr:nvSpPr>
            <xdr:cNvPr id="0" name=""/>
            <xdr:cNvSpPr>
              <a:spLocks noTextEdit="1"/>
            </xdr:cNvSpPr>
          </xdr:nvSpPr>
          <xdr:spPr>
            <a:xfrm>
              <a:off x="11353800" y="220980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vishwakarma" refreshedDate="45937.971265162036" createdVersion="8" refreshedVersion="8" minRefreshableVersion="3" recordCount="35" xr:uid="{0BE42DE7-ED14-4D47-9970-395F32847DE0}">
  <cacheSource type="worksheet">
    <worksheetSource ref="A1:D36" sheet="Question.2"/>
  </cacheSource>
  <cacheFields count="4">
    <cacheField name="Full_name" numFmtId="0">
      <sharedItems/>
    </cacheField>
    <cacheField name="Referred_by" numFmtId="0">
      <sharedItems containsBlank="1"/>
    </cacheField>
    <cacheField name="Monthly_Fee" numFmtId="0">
      <sharedItems containsSemiMixedTypes="0" containsString="0" containsNumber="1" containsInteger="1" minValue="800" maxValue="2500"/>
    </cacheField>
    <cacheField name="Referred_Status"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vishwakarma" refreshedDate="45938.46483715278" createdVersion="8" refreshedVersion="8" minRefreshableVersion="3" recordCount="35" xr:uid="{FDE1B695-558A-45A4-B1CD-E24D545DE031}">
  <cacheSource type="worksheet">
    <worksheetSource ref="A1:G36" sheet="Question.3"/>
  </cacheSource>
  <cacheFields count="7">
    <cacheField name="Monthly_Fee" numFmtId="0">
      <sharedItems containsSemiMixedTypes="0" containsString="0" containsNumber="1" containsInteger="1" minValue="800" maxValue="2500"/>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embership_Type" numFmtId="0">
      <sharedItems count="4">
        <s v="Basic"/>
        <s v="Standard"/>
        <s v="Family"/>
        <s v="Premium"/>
      </sharedItems>
    </cacheField>
    <cacheField name="City" numFmtId="0">
      <sharedItems count="6">
        <s v="Bengaluru"/>
        <s v="Pune"/>
        <s v="Hyderabad"/>
        <s v="Mumbai"/>
        <s v="Kolkata"/>
        <s v="Delhi"/>
      </sharedItems>
    </cacheField>
    <cacheField name="Membership_Duration_months" numFmtId="1">
      <sharedItems containsSemiMixedTypes="0" containsString="0" containsNumber="1" minValue="0.13333333333333333" maxValue="18.933333333333334"/>
    </cacheField>
    <cacheField name="Total_revenue" numFmtId="0">
      <sharedItems containsSemiMixedTypes="0" containsString="0" containsNumber="1" minValue="240" maxValue="36333.33333333333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vishwakarma" refreshedDate="45969.899386342593" createdVersion="8" refreshedVersion="8" minRefreshableVersion="3" recordCount="35" xr:uid="{ADD29468-DC59-4741-80FC-4BFC8BB18B71}">
  <cacheSource type="worksheet">
    <worksheetSource ref="A1:F36" sheet="Question.5"/>
  </cacheSource>
  <cacheFields count="6">
    <cacheField name="Member_ID" numFmtId="0">
      <sharedItems containsSemiMixedTypes="0" containsString="0" containsNumber="1" containsInteger="1" minValue="1" maxValue="35"/>
    </cacheField>
    <cacheField name="City" numFmtId="0">
      <sharedItems count="6">
        <s v="Bengaluru"/>
        <s v="Pune"/>
        <s v="Hyderabad"/>
        <s v="Mumbai"/>
        <s v="Kolkata"/>
        <s v="Delhi"/>
      </sharedItems>
    </cacheField>
    <cacheField name="Membership_Type" numFmtId="0">
      <sharedItems count="4">
        <s v="Basic"/>
        <s v="Standard"/>
        <s v="Family"/>
        <s v="Premium"/>
      </sharedItems>
    </cacheField>
    <cacheField name="Monthly_Fee" numFmtId="0">
      <sharedItems containsSemiMixedTypes="0" containsString="0" containsNumber="1" containsInteger="1" minValue="800" maxValue="2500"/>
    </cacheField>
    <cacheField name="Total_Revenue" numFmtId="1">
      <sharedItems containsSemiMixedTypes="0" containsString="0" containsNumber="1" minValue="240" maxValue="36333.333333333336"/>
    </cacheField>
    <cacheField name="Referred" numFmtId="0">
      <sharedItems count="2">
        <s v="yes"/>
        <s v="no"/>
      </sharedItems>
    </cacheField>
  </cacheFields>
  <extLst>
    <ext xmlns:x14="http://schemas.microsoft.com/office/spreadsheetml/2009/9/main" uri="{725AE2AE-9491-48be-B2B4-4EB974FC3084}">
      <x14:pivotCacheDefinition pivotCacheId="7577321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vishwakarma" refreshedDate="45969.943301388892" createdVersion="8" refreshedVersion="8" minRefreshableVersion="3" recordCount="35" xr:uid="{4EB4E5F5-D4EF-4CEE-B0C8-CDB82A26852C}">
  <cacheSource type="worksheet">
    <worksheetSource ref="A1:D36" sheet="Question.6"/>
  </cacheSource>
  <cacheFields count="4">
    <cacheField name="Member_ID" numFmtId="0">
      <sharedItems containsSemiMixedTypes="0" containsString="0" containsNumber="1" containsInteger="1" minValue="1" maxValue="35"/>
    </cacheField>
    <cacheField name="City" numFmtId="0">
      <sharedItems count="6">
        <s v="Bengaluru"/>
        <s v="Pune"/>
        <s v="Hyderabad"/>
        <s v="Mumbai"/>
        <s v="Kolkata"/>
        <s v="Delhi"/>
      </sharedItems>
    </cacheField>
    <cacheField name="Gender" numFmtId="0">
      <sharedItems count="2">
        <s v="Male"/>
        <s v="Female"/>
      </sharedItems>
    </cacheField>
    <cacheField name="Full_Nam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vishwakarma" refreshedDate="45970.00920104167" createdVersion="8" refreshedVersion="8" minRefreshableVersion="3" recordCount="35" xr:uid="{58F58EDB-181B-46C3-9DDC-BBF600A04CBB}">
  <cacheSource type="worksheet">
    <worksheetSource ref="A1:G36" sheet="Question.6"/>
  </cacheSource>
  <cacheFields count="7">
    <cacheField name="Member_ID" numFmtId="0">
      <sharedItems containsSemiMixedTypes="0" containsString="0" containsNumber="1" containsInteger="1" minValue="1" maxValue="35"/>
    </cacheField>
    <cacheField name="City" numFmtId="0">
      <sharedItems/>
    </cacheField>
    <cacheField name="Gender" numFmtId="0">
      <sharedItems/>
    </cacheField>
    <cacheField name="Full_Name" numFmtId="0">
      <sharedItems/>
    </cacheField>
    <cacheField name="Membership_Type" numFmtId="0">
      <sharedItems count="4">
        <s v="Basic"/>
        <s v="Standard"/>
        <s v="Family"/>
        <s v="Premium"/>
      </sharedItems>
    </cacheField>
    <cacheField name="Age_group" numFmtId="0">
      <sharedItems count="3">
        <s v="seniors"/>
        <s v="youth"/>
        <s v="Adult"/>
      </sharedItems>
    </cacheField>
    <cacheField name="Age" numFmtId="0">
      <sharedItems containsSemiMixedTypes="0" containsString="0" containsNumber="1" containsInteger="1" minValue="19" maxValue="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Anay Shanker"/>
    <s v="Hiran Shan"/>
    <n v="800"/>
    <x v="0"/>
  </r>
  <r>
    <s v="Parinaaz Shanker"/>
    <s v="Kiara Kakar"/>
    <n v="800"/>
    <x v="0"/>
  </r>
  <r>
    <s v="Aniruddh Batra"/>
    <s v="Jhanvi Chaudhary"/>
    <n v="1200"/>
    <x v="0"/>
  </r>
  <r>
    <s v="Madhup Kapur"/>
    <s v="Tara Swaminathan"/>
    <n v="1200"/>
    <x v="0"/>
  </r>
  <r>
    <s v="Rasha Kakar"/>
    <s v="Madhav Singh"/>
    <n v="2500"/>
    <x v="0"/>
  </r>
  <r>
    <s v="Ehsaan Batra"/>
    <s v="Shray Ramakrishnan"/>
    <n v="800"/>
    <x v="0"/>
  </r>
  <r>
    <s v="Zara Bains"/>
    <m/>
    <n v="800"/>
    <x v="1"/>
  </r>
  <r>
    <s v="Uthkarsh Baral"/>
    <m/>
    <n v="1800"/>
    <x v="1"/>
  </r>
  <r>
    <s v="Kashvi Char"/>
    <s v="Nitara Comar"/>
    <n v="800"/>
    <x v="0"/>
  </r>
  <r>
    <s v="Dhanush Varma"/>
    <s v="Ranbir Karan"/>
    <n v="1200"/>
    <x v="0"/>
  </r>
  <r>
    <s v="Ishaan Goyal"/>
    <s v="Rati Sanghvi"/>
    <n v="1200"/>
    <x v="0"/>
  </r>
  <r>
    <s v="Mahika Ravi"/>
    <s v="Ishaan Kashyap"/>
    <n v="1200"/>
    <x v="0"/>
  </r>
  <r>
    <s v="Purab Reddy"/>
    <m/>
    <n v="1800"/>
    <x v="1"/>
  </r>
  <r>
    <s v="Tiya Soni"/>
    <m/>
    <n v="1200"/>
    <x v="1"/>
  </r>
  <r>
    <s v="Zara Dugar"/>
    <m/>
    <n v="800"/>
    <x v="1"/>
  </r>
  <r>
    <s v="Lakshit Mander"/>
    <m/>
    <n v="2500"/>
    <x v="1"/>
  </r>
  <r>
    <s v="Neysa Krish"/>
    <m/>
    <n v="1200"/>
    <x v="1"/>
  </r>
  <r>
    <s v="Prerak Boase"/>
    <m/>
    <n v="2500"/>
    <x v="1"/>
  </r>
  <r>
    <s v="Siya Master"/>
    <m/>
    <n v="800"/>
    <x v="1"/>
  </r>
  <r>
    <s v="Madhup Biswas"/>
    <s v="Tanya Bajwa"/>
    <n v="2500"/>
    <x v="0"/>
  </r>
  <r>
    <s v="Indrans Ratti"/>
    <m/>
    <n v="1800"/>
    <x v="1"/>
  </r>
  <r>
    <s v="Kimaya Balay"/>
    <m/>
    <n v="1800"/>
    <x v="1"/>
  </r>
  <r>
    <s v="Eva Dass"/>
    <m/>
    <n v="1800"/>
    <x v="1"/>
  </r>
  <r>
    <s v="Pihu Wali"/>
    <m/>
    <n v="1200"/>
    <x v="1"/>
  </r>
  <r>
    <s v="Tiya Rege"/>
    <s v="Adira Brar"/>
    <n v="1800"/>
    <x v="0"/>
  </r>
  <r>
    <s v="Aarav Sen"/>
    <m/>
    <n v="1200"/>
    <x v="1"/>
  </r>
  <r>
    <s v="Dishani Bera"/>
    <m/>
    <n v="2500"/>
    <x v="1"/>
  </r>
  <r>
    <s v="Indrans Grover"/>
    <m/>
    <n v="1200"/>
    <x v="1"/>
  </r>
  <r>
    <s v="Kismat Edwin"/>
    <m/>
    <n v="2500"/>
    <x v="1"/>
  </r>
  <r>
    <s v="Taran Vyas"/>
    <s v="Nakul Balakrishnan"/>
    <n v="2500"/>
    <x v="0"/>
  </r>
  <r>
    <s v="Jiya Baral"/>
    <s v="Darshit Sidhu"/>
    <n v="800"/>
    <x v="0"/>
  </r>
  <r>
    <s v="Gokul Sahni"/>
    <m/>
    <n v="1200"/>
    <x v="1"/>
  </r>
  <r>
    <s v="Prerak Lalla"/>
    <m/>
    <n v="800"/>
    <x v="1"/>
  </r>
  <r>
    <s v="Hrishita Shroff"/>
    <s v="Riya Dugal"/>
    <n v="1800"/>
    <x v="0"/>
  </r>
  <r>
    <s v="Oorja Sachar"/>
    <m/>
    <n v="120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n v="800"/>
    <d v="2023-11-05T00:00:00"/>
    <d v="2024-05-13T00:00:00"/>
    <x v="0"/>
    <x v="0"/>
    <n v="6.333333333333333"/>
    <n v="5066.6666666666661"/>
  </r>
  <r>
    <n v="800"/>
    <d v="2025-02-26T00:00:00"/>
    <d v="2025-03-24T00:00:00"/>
    <x v="0"/>
    <x v="1"/>
    <n v="0.8666666666666667"/>
    <n v="693.33333333333337"/>
  </r>
  <r>
    <n v="1200"/>
    <d v="2023-09-22T00:00:00"/>
    <d v="2024-03-20T00:00:00"/>
    <x v="1"/>
    <x v="2"/>
    <n v="6"/>
    <n v="7200"/>
  </r>
  <r>
    <n v="1200"/>
    <d v="2024-07-06T00:00:00"/>
    <d v="2024-10-22T00:00:00"/>
    <x v="1"/>
    <x v="2"/>
    <n v="3.6"/>
    <n v="4320"/>
  </r>
  <r>
    <n v="2500"/>
    <d v="2023-12-26T00:00:00"/>
    <d v="2024-07-28T00:00:00"/>
    <x v="2"/>
    <x v="0"/>
    <n v="7.166666666666667"/>
    <n v="17916.666666666668"/>
  </r>
  <r>
    <n v="800"/>
    <d v="2024-01-26T00:00:00"/>
    <d v="2024-04-10T00:00:00"/>
    <x v="0"/>
    <x v="3"/>
    <n v="2.5"/>
    <n v="2000"/>
  </r>
  <r>
    <n v="800"/>
    <d v="2024-10-23T00:00:00"/>
    <d v="2025-01-20T00:00:00"/>
    <x v="0"/>
    <x v="1"/>
    <n v="2.9666666666666668"/>
    <n v="2373.3333333333335"/>
  </r>
  <r>
    <n v="1800"/>
    <d v="2024-06-07T00:00:00"/>
    <d v="2024-09-28T00:00:00"/>
    <x v="3"/>
    <x v="4"/>
    <n v="3.7666666666666666"/>
    <n v="6780"/>
  </r>
  <r>
    <n v="800"/>
    <d v="2024-10-04T00:00:00"/>
    <d v="2024-10-17T00:00:00"/>
    <x v="0"/>
    <x v="4"/>
    <n v="0.43333333333333335"/>
    <n v="346.66666666666669"/>
  </r>
  <r>
    <n v="1200"/>
    <d v="2023-10-03T00:00:00"/>
    <d v="2023-12-20T00:00:00"/>
    <x v="1"/>
    <x v="3"/>
    <n v="2.6"/>
    <n v="3120"/>
  </r>
  <r>
    <n v="1200"/>
    <d v="2024-01-06T00:00:00"/>
    <d v="2024-06-16T00:00:00"/>
    <x v="1"/>
    <x v="0"/>
    <n v="5.4"/>
    <n v="6480"/>
  </r>
  <r>
    <n v="1200"/>
    <d v="2023-08-16T00:00:00"/>
    <d v="2024-10-03T00:00:00"/>
    <x v="1"/>
    <x v="4"/>
    <n v="13.8"/>
    <n v="16560"/>
  </r>
  <r>
    <n v="1800"/>
    <d v="2024-09-21T00:00:00"/>
    <d v="2024-12-15T00:00:00"/>
    <x v="3"/>
    <x v="4"/>
    <n v="2.8333333333333335"/>
    <n v="5100"/>
  </r>
  <r>
    <n v="1200"/>
    <d v="2023-05-19T00:00:00"/>
    <d v="2023-11-12T00:00:00"/>
    <x v="1"/>
    <x v="3"/>
    <n v="5.9"/>
    <n v="7080"/>
  </r>
  <r>
    <n v="800"/>
    <d v="2024-02-11T00:00:00"/>
    <d v="2024-09-05T00:00:00"/>
    <x v="0"/>
    <x v="2"/>
    <n v="6.9"/>
    <n v="5520"/>
  </r>
  <r>
    <n v="2500"/>
    <d v="2025-02-14T00:00:00"/>
    <d v="2025-03-16T00:00:00"/>
    <x v="2"/>
    <x v="4"/>
    <n v="1"/>
    <n v="2500"/>
  </r>
  <r>
    <n v="1200"/>
    <d v="2024-02-07T00:00:00"/>
    <d v="2025-01-28T00:00:00"/>
    <x v="1"/>
    <x v="2"/>
    <n v="11.866666666666667"/>
    <n v="14240"/>
  </r>
  <r>
    <n v="2500"/>
    <d v="2023-10-14T00:00:00"/>
    <d v="2024-12-23T00:00:00"/>
    <x v="2"/>
    <x v="5"/>
    <n v="14.533333333333333"/>
    <n v="36333.333333333336"/>
  </r>
  <r>
    <n v="800"/>
    <d v="2024-03-03T00:00:00"/>
    <d v="2025-01-07T00:00:00"/>
    <x v="0"/>
    <x v="3"/>
    <n v="10.333333333333334"/>
    <n v="8266.6666666666679"/>
  </r>
  <r>
    <n v="2500"/>
    <d v="2024-05-05T00:00:00"/>
    <d v="2024-11-12T00:00:00"/>
    <x v="2"/>
    <x v="3"/>
    <n v="6.3666666666666663"/>
    <n v="15916.666666666666"/>
  </r>
  <r>
    <n v="1800"/>
    <d v="2023-08-08T00:00:00"/>
    <d v="2025-01-17T00:00:00"/>
    <x v="3"/>
    <x v="3"/>
    <n v="17.600000000000001"/>
    <n v="31680.000000000004"/>
  </r>
  <r>
    <n v="1800"/>
    <d v="2024-01-29T00:00:00"/>
    <d v="2024-11-20T00:00:00"/>
    <x v="3"/>
    <x v="0"/>
    <n v="9.8666666666666671"/>
    <n v="17760"/>
  </r>
  <r>
    <n v="1800"/>
    <d v="2024-06-08T00:00:00"/>
    <d v="2024-06-12T00:00:00"/>
    <x v="3"/>
    <x v="5"/>
    <n v="0.13333333333333333"/>
    <n v="240"/>
  </r>
  <r>
    <n v="1200"/>
    <d v="2024-05-27T00:00:00"/>
    <d v="2025-03-14T00:00:00"/>
    <x v="1"/>
    <x v="0"/>
    <n v="9.6999999999999993"/>
    <n v="11640"/>
  </r>
  <r>
    <n v="1800"/>
    <d v="2023-12-26T00:00:00"/>
    <d v="2024-03-21T00:00:00"/>
    <x v="3"/>
    <x v="3"/>
    <n v="2.8666666666666667"/>
    <n v="5160"/>
  </r>
  <r>
    <n v="1200"/>
    <d v="2025-02-14T00:00:00"/>
    <d v="2025-03-11T00:00:00"/>
    <x v="1"/>
    <x v="5"/>
    <n v="0.83333333333333337"/>
    <n v="1000"/>
  </r>
  <r>
    <n v="2500"/>
    <d v="2025-02-10T00:00:00"/>
    <d v="2025-03-10T00:00:00"/>
    <x v="2"/>
    <x v="3"/>
    <n v="0.93333333333333335"/>
    <n v="2333.3333333333335"/>
  </r>
  <r>
    <n v="1200"/>
    <d v="2024-11-18T00:00:00"/>
    <d v="2024-12-19T00:00:00"/>
    <x v="1"/>
    <x v="1"/>
    <n v="1.0333333333333334"/>
    <n v="1240.0000000000002"/>
  </r>
  <r>
    <n v="2500"/>
    <d v="2024-04-19T00:00:00"/>
    <d v="2024-04-26T00:00:00"/>
    <x v="2"/>
    <x v="2"/>
    <n v="0.23333333333333334"/>
    <n v="583.33333333333337"/>
  </r>
  <r>
    <n v="2500"/>
    <d v="2025-01-10T00:00:00"/>
    <d v="2025-03-29T00:00:00"/>
    <x v="2"/>
    <x v="4"/>
    <n v="2.6"/>
    <n v="6500"/>
  </r>
  <r>
    <n v="800"/>
    <d v="2023-06-11T00:00:00"/>
    <d v="2024-12-30T00:00:00"/>
    <x v="0"/>
    <x v="5"/>
    <n v="18.933333333333334"/>
    <n v="15146.666666666666"/>
  </r>
  <r>
    <n v="1200"/>
    <d v="2024-04-09T00:00:00"/>
    <d v="2024-11-08T00:00:00"/>
    <x v="1"/>
    <x v="3"/>
    <n v="7.1"/>
    <n v="8520"/>
  </r>
  <r>
    <n v="800"/>
    <d v="2025-02-11T00:00:00"/>
    <d v="2025-03-24T00:00:00"/>
    <x v="0"/>
    <x v="3"/>
    <n v="1.3666666666666667"/>
    <n v="1093.3333333333333"/>
  </r>
  <r>
    <n v="1800"/>
    <d v="2024-10-23T00:00:00"/>
    <d v="2025-03-05T00:00:00"/>
    <x v="3"/>
    <x v="1"/>
    <n v="4.4333333333333336"/>
    <n v="7980"/>
  </r>
  <r>
    <n v="1200"/>
    <d v="2024-01-21T00:00:00"/>
    <d v="2024-12-26T00:00:00"/>
    <x v="1"/>
    <x v="1"/>
    <n v="11.333333333333334"/>
    <n v="136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n v="1"/>
    <x v="0"/>
    <x v="0"/>
    <n v="800"/>
    <n v="5066.6666666666661"/>
    <x v="0"/>
  </r>
  <r>
    <n v="2"/>
    <x v="1"/>
    <x v="0"/>
    <n v="800"/>
    <n v="693.33333333333337"/>
    <x v="0"/>
  </r>
  <r>
    <n v="3"/>
    <x v="2"/>
    <x v="1"/>
    <n v="1200"/>
    <n v="7200"/>
    <x v="0"/>
  </r>
  <r>
    <n v="4"/>
    <x v="2"/>
    <x v="1"/>
    <n v="1200"/>
    <n v="4320"/>
    <x v="0"/>
  </r>
  <r>
    <n v="5"/>
    <x v="0"/>
    <x v="2"/>
    <n v="2500"/>
    <n v="17916.666666666668"/>
    <x v="0"/>
  </r>
  <r>
    <n v="6"/>
    <x v="3"/>
    <x v="0"/>
    <n v="800"/>
    <n v="2000"/>
    <x v="0"/>
  </r>
  <r>
    <n v="7"/>
    <x v="1"/>
    <x v="0"/>
    <n v="800"/>
    <n v="2373.3333333333335"/>
    <x v="1"/>
  </r>
  <r>
    <n v="8"/>
    <x v="4"/>
    <x v="3"/>
    <n v="1800"/>
    <n v="6780"/>
    <x v="1"/>
  </r>
  <r>
    <n v="9"/>
    <x v="4"/>
    <x v="0"/>
    <n v="800"/>
    <n v="346.66666666666669"/>
    <x v="0"/>
  </r>
  <r>
    <n v="10"/>
    <x v="3"/>
    <x v="1"/>
    <n v="1200"/>
    <n v="3120"/>
    <x v="0"/>
  </r>
  <r>
    <n v="11"/>
    <x v="0"/>
    <x v="1"/>
    <n v="1200"/>
    <n v="6480"/>
    <x v="0"/>
  </r>
  <r>
    <n v="12"/>
    <x v="4"/>
    <x v="1"/>
    <n v="1200"/>
    <n v="16560"/>
    <x v="0"/>
  </r>
  <r>
    <n v="13"/>
    <x v="4"/>
    <x v="3"/>
    <n v="1800"/>
    <n v="5100"/>
    <x v="1"/>
  </r>
  <r>
    <n v="14"/>
    <x v="3"/>
    <x v="1"/>
    <n v="1200"/>
    <n v="7080"/>
    <x v="1"/>
  </r>
  <r>
    <n v="15"/>
    <x v="2"/>
    <x v="0"/>
    <n v="800"/>
    <n v="5520"/>
    <x v="1"/>
  </r>
  <r>
    <n v="16"/>
    <x v="4"/>
    <x v="2"/>
    <n v="2500"/>
    <n v="2500"/>
    <x v="1"/>
  </r>
  <r>
    <n v="17"/>
    <x v="2"/>
    <x v="1"/>
    <n v="1200"/>
    <n v="14240"/>
    <x v="1"/>
  </r>
  <r>
    <n v="18"/>
    <x v="5"/>
    <x v="2"/>
    <n v="2500"/>
    <n v="36333.333333333336"/>
    <x v="1"/>
  </r>
  <r>
    <n v="19"/>
    <x v="3"/>
    <x v="0"/>
    <n v="800"/>
    <n v="8266.6666666666679"/>
    <x v="1"/>
  </r>
  <r>
    <n v="20"/>
    <x v="3"/>
    <x v="2"/>
    <n v="2500"/>
    <n v="15916.666666666666"/>
    <x v="0"/>
  </r>
  <r>
    <n v="21"/>
    <x v="3"/>
    <x v="3"/>
    <n v="1800"/>
    <n v="31680.000000000004"/>
    <x v="1"/>
  </r>
  <r>
    <n v="22"/>
    <x v="0"/>
    <x v="3"/>
    <n v="1800"/>
    <n v="17760"/>
    <x v="1"/>
  </r>
  <r>
    <n v="23"/>
    <x v="5"/>
    <x v="3"/>
    <n v="1800"/>
    <n v="240"/>
    <x v="1"/>
  </r>
  <r>
    <n v="24"/>
    <x v="0"/>
    <x v="1"/>
    <n v="1200"/>
    <n v="11640"/>
    <x v="1"/>
  </r>
  <r>
    <n v="25"/>
    <x v="3"/>
    <x v="3"/>
    <n v="1800"/>
    <n v="5160"/>
    <x v="0"/>
  </r>
  <r>
    <n v="26"/>
    <x v="5"/>
    <x v="1"/>
    <n v="1200"/>
    <n v="1000"/>
    <x v="1"/>
  </r>
  <r>
    <n v="27"/>
    <x v="3"/>
    <x v="2"/>
    <n v="2500"/>
    <n v="2333.3333333333335"/>
    <x v="1"/>
  </r>
  <r>
    <n v="28"/>
    <x v="1"/>
    <x v="1"/>
    <n v="1200"/>
    <n v="1240.0000000000002"/>
    <x v="1"/>
  </r>
  <r>
    <n v="29"/>
    <x v="2"/>
    <x v="2"/>
    <n v="2500"/>
    <n v="583.33333333333337"/>
    <x v="1"/>
  </r>
  <r>
    <n v="30"/>
    <x v="4"/>
    <x v="2"/>
    <n v="2500"/>
    <n v="6500"/>
    <x v="0"/>
  </r>
  <r>
    <n v="31"/>
    <x v="5"/>
    <x v="0"/>
    <n v="800"/>
    <n v="15146.666666666666"/>
    <x v="0"/>
  </r>
  <r>
    <n v="32"/>
    <x v="3"/>
    <x v="1"/>
    <n v="1200"/>
    <n v="8520"/>
    <x v="1"/>
  </r>
  <r>
    <n v="33"/>
    <x v="3"/>
    <x v="0"/>
    <n v="800"/>
    <n v="1093.3333333333333"/>
    <x v="1"/>
  </r>
  <r>
    <n v="34"/>
    <x v="1"/>
    <x v="3"/>
    <n v="1800"/>
    <n v="7980"/>
    <x v="0"/>
  </r>
  <r>
    <n v="35"/>
    <x v="1"/>
    <x v="1"/>
    <n v="1200"/>
    <n v="13600"/>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n v="1"/>
    <x v="0"/>
    <x v="0"/>
    <s v="Anay Shanker"/>
  </r>
  <r>
    <n v="2"/>
    <x v="1"/>
    <x v="0"/>
    <s v="Parinaaz Shanker"/>
  </r>
  <r>
    <n v="3"/>
    <x v="2"/>
    <x v="0"/>
    <s v="Aniruddh Batra"/>
  </r>
  <r>
    <n v="4"/>
    <x v="2"/>
    <x v="1"/>
    <s v="Madhup Kapur"/>
  </r>
  <r>
    <n v="5"/>
    <x v="0"/>
    <x v="0"/>
    <s v="Rasha Kakar"/>
  </r>
  <r>
    <n v="6"/>
    <x v="3"/>
    <x v="0"/>
    <s v="Ehsaan Batra"/>
  </r>
  <r>
    <n v="7"/>
    <x v="1"/>
    <x v="1"/>
    <s v="Zara Bains"/>
  </r>
  <r>
    <n v="8"/>
    <x v="4"/>
    <x v="0"/>
    <s v="Uthkarsh Baral"/>
  </r>
  <r>
    <n v="9"/>
    <x v="4"/>
    <x v="0"/>
    <s v="Kashvi Char"/>
  </r>
  <r>
    <n v="10"/>
    <x v="3"/>
    <x v="0"/>
    <s v="Dhanush Varma"/>
  </r>
  <r>
    <n v="11"/>
    <x v="0"/>
    <x v="1"/>
    <s v="Ishaan Goyal"/>
  </r>
  <r>
    <n v="12"/>
    <x v="4"/>
    <x v="0"/>
    <s v="Mahika Ravi"/>
  </r>
  <r>
    <n v="13"/>
    <x v="4"/>
    <x v="1"/>
    <s v="Purab Reddy"/>
  </r>
  <r>
    <n v="14"/>
    <x v="3"/>
    <x v="0"/>
    <s v="Tiya Soni"/>
  </r>
  <r>
    <n v="15"/>
    <x v="2"/>
    <x v="1"/>
    <s v="Zara Dugar"/>
  </r>
  <r>
    <n v="16"/>
    <x v="4"/>
    <x v="0"/>
    <s v="Lakshit Mander"/>
  </r>
  <r>
    <n v="17"/>
    <x v="2"/>
    <x v="0"/>
    <s v="Neysa Krish"/>
  </r>
  <r>
    <n v="18"/>
    <x v="5"/>
    <x v="1"/>
    <s v="Prerak Boase"/>
  </r>
  <r>
    <n v="19"/>
    <x v="3"/>
    <x v="1"/>
    <s v="Siya Master"/>
  </r>
  <r>
    <n v="20"/>
    <x v="3"/>
    <x v="0"/>
    <s v="Madhup Biswas"/>
  </r>
  <r>
    <n v="21"/>
    <x v="3"/>
    <x v="1"/>
    <s v="Indrans Ratti"/>
  </r>
  <r>
    <n v="22"/>
    <x v="0"/>
    <x v="1"/>
    <s v="Kimaya Balay"/>
  </r>
  <r>
    <n v="23"/>
    <x v="5"/>
    <x v="0"/>
    <s v="Eva Dass"/>
  </r>
  <r>
    <n v="24"/>
    <x v="0"/>
    <x v="1"/>
    <s v="Pihu Wali"/>
  </r>
  <r>
    <n v="25"/>
    <x v="3"/>
    <x v="0"/>
    <s v="Tiya Rege"/>
  </r>
  <r>
    <n v="26"/>
    <x v="5"/>
    <x v="1"/>
    <s v="Aarav Sen"/>
  </r>
  <r>
    <n v="27"/>
    <x v="3"/>
    <x v="0"/>
    <s v="Dishani Bera"/>
  </r>
  <r>
    <n v="28"/>
    <x v="1"/>
    <x v="0"/>
    <s v="Indrans Grover"/>
  </r>
  <r>
    <n v="29"/>
    <x v="2"/>
    <x v="1"/>
    <s v="Kismat Edwin"/>
  </r>
  <r>
    <n v="30"/>
    <x v="4"/>
    <x v="1"/>
    <s v="Taran Vyas"/>
  </r>
  <r>
    <n v="31"/>
    <x v="5"/>
    <x v="1"/>
    <s v="Jiya Baral"/>
  </r>
  <r>
    <n v="32"/>
    <x v="3"/>
    <x v="0"/>
    <s v="Gokul Sahni"/>
  </r>
  <r>
    <n v="33"/>
    <x v="3"/>
    <x v="0"/>
    <s v="Prerak Lalla"/>
  </r>
  <r>
    <n v="34"/>
    <x v="1"/>
    <x v="0"/>
    <s v="Hrishita Shroff"/>
  </r>
  <r>
    <n v="35"/>
    <x v="1"/>
    <x v="1"/>
    <s v="Oorja Sachar"/>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n v="1"/>
    <s v="Bengaluru"/>
    <s v="Male"/>
    <s v="Anay Shanker"/>
    <x v="0"/>
    <x v="0"/>
    <n v="59"/>
  </r>
  <r>
    <n v="2"/>
    <s v="Pune"/>
    <s v="Male"/>
    <s v="Parinaaz Shanker"/>
    <x v="0"/>
    <x v="1"/>
    <n v="27"/>
  </r>
  <r>
    <n v="3"/>
    <s v="Hyderabad"/>
    <s v="Male"/>
    <s v="Aniruddh Batra"/>
    <x v="1"/>
    <x v="1"/>
    <n v="24"/>
  </r>
  <r>
    <n v="4"/>
    <s v="Hyderabad"/>
    <s v="Female"/>
    <s v="Madhup Kapur"/>
    <x v="1"/>
    <x v="2"/>
    <n v="31"/>
  </r>
  <r>
    <n v="5"/>
    <s v="Bengaluru"/>
    <s v="Male"/>
    <s v="Rasha Kakar"/>
    <x v="2"/>
    <x v="1"/>
    <n v="19"/>
  </r>
  <r>
    <n v="6"/>
    <s v="Mumbai"/>
    <s v="Male"/>
    <s v="Ehsaan Batra"/>
    <x v="0"/>
    <x v="2"/>
    <n v="40"/>
  </r>
  <r>
    <n v="7"/>
    <s v="Pune"/>
    <s v="Female"/>
    <s v="Zara Bains"/>
    <x v="0"/>
    <x v="2"/>
    <n v="41"/>
  </r>
  <r>
    <n v="8"/>
    <s v="Kolkata"/>
    <s v="Male"/>
    <s v="Uthkarsh Baral"/>
    <x v="3"/>
    <x v="2"/>
    <n v="43"/>
  </r>
  <r>
    <n v="9"/>
    <s v="Kolkata"/>
    <s v="Male"/>
    <s v="Kashvi Char"/>
    <x v="0"/>
    <x v="2"/>
    <n v="42"/>
  </r>
  <r>
    <n v="10"/>
    <s v="Mumbai"/>
    <s v="Male"/>
    <s v="Dhanush Varma"/>
    <x v="1"/>
    <x v="2"/>
    <n v="37"/>
  </r>
  <r>
    <n v="11"/>
    <s v="Bengaluru"/>
    <s v="Female"/>
    <s v="Ishaan Goyal"/>
    <x v="1"/>
    <x v="0"/>
    <n v="48"/>
  </r>
  <r>
    <n v="12"/>
    <s v="Kolkata"/>
    <s v="Male"/>
    <s v="Mahika Ravi"/>
    <x v="1"/>
    <x v="2"/>
    <n v="36"/>
  </r>
  <r>
    <n v="13"/>
    <s v="Kolkata"/>
    <s v="Female"/>
    <s v="Purab Reddy"/>
    <x v="3"/>
    <x v="0"/>
    <n v="48"/>
  </r>
  <r>
    <n v="14"/>
    <s v="Mumbai"/>
    <s v="Male"/>
    <s v="Tiya Soni"/>
    <x v="1"/>
    <x v="2"/>
    <n v="39"/>
  </r>
  <r>
    <n v="15"/>
    <s v="Hyderabad"/>
    <s v="Female"/>
    <s v="Zara Dugar"/>
    <x v="0"/>
    <x v="2"/>
    <n v="44"/>
  </r>
  <r>
    <n v="16"/>
    <s v="Kolkata"/>
    <s v="Male"/>
    <s v="Lakshit Mander"/>
    <x v="2"/>
    <x v="2"/>
    <n v="39"/>
  </r>
  <r>
    <n v="17"/>
    <s v="Hyderabad"/>
    <s v="Male"/>
    <s v="Neysa Krish"/>
    <x v="1"/>
    <x v="2"/>
    <n v="35"/>
  </r>
  <r>
    <n v="18"/>
    <s v="Delhi"/>
    <s v="Female"/>
    <s v="Prerak Boase"/>
    <x v="2"/>
    <x v="0"/>
    <n v="56"/>
  </r>
  <r>
    <n v="19"/>
    <s v="Mumbai"/>
    <s v="Female"/>
    <s v="Siya Master"/>
    <x v="0"/>
    <x v="1"/>
    <n v="27"/>
  </r>
  <r>
    <n v="20"/>
    <s v="Mumbai"/>
    <s v="Male"/>
    <s v="Madhup Biswas"/>
    <x v="2"/>
    <x v="1"/>
    <n v="28"/>
  </r>
  <r>
    <n v="21"/>
    <s v="Mumbai"/>
    <s v="Female"/>
    <s v="Indrans Ratti"/>
    <x v="3"/>
    <x v="0"/>
    <n v="57"/>
  </r>
  <r>
    <n v="22"/>
    <s v="Bengaluru"/>
    <s v="Female"/>
    <s v="Kimaya Balay"/>
    <x v="3"/>
    <x v="1"/>
    <n v="26"/>
  </r>
  <r>
    <n v="23"/>
    <s v="Delhi"/>
    <s v="Male"/>
    <s v="Eva Dass"/>
    <x v="3"/>
    <x v="0"/>
    <n v="48"/>
  </r>
  <r>
    <n v="24"/>
    <s v="Bengaluru"/>
    <s v="Female"/>
    <s v="Pihu Wali"/>
    <x v="1"/>
    <x v="1"/>
    <n v="25"/>
  </r>
  <r>
    <n v="25"/>
    <s v="Mumbai"/>
    <s v="Male"/>
    <s v="Tiya Rege"/>
    <x v="3"/>
    <x v="0"/>
    <n v="53"/>
  </r>
  <r>
    <n v="26"/>
    <s v="Delhi"/>
    <s v="Female"/>
    <s v="Aarav Sen"/>
    <x v="1"/>
    <x v="2"/>
    <n v="42"/>
  </r>
  <r>
    <n v="27"/>
    <s v="Mumbai"/>
    <s v="Male"/>
    <s v="Dishani Bera"/>
    <x v="2"/>
    <x v="1"/>
    <n v="24"/>
  </r>
  <r>
    <n v="28"/>
    <s v="Pune"/>
    <s v="Male"/>
    <s v="Indrans Grover"/>
    <x v="1"/>
    <x v="0"/>
    <n v="53"/>
  </r>
  <r>
    <n v="29"/>
    <s v="Hyderabad"/>
    <s v="Female"/>
    <s v="Kismat Edwin"/>
    <x v="2"/>
    <x v="1"/>
    <n v="29"/>
  </r>
  <r>
    <n v="30"/>
    <s v="Kolkata"/>
    <s v="Female"/>
    <s v="Taran Vyas"/>
    <x v="2"/>
    <x v="2"/>
    <n v="31"/>
  </r>
  <r>
    <n v="31"/>
    <s v="Delhi"/>
    <s v="Female"/>
    <s v="Jiya Baral"/>
    <x v="0"/>
    <x v="0"/>
    <n v="52"/>
  </r>
  <r>
    <n v="32"/>
    <s v="Mumbai"/>
    <s v="Male"/>
    <s v="Gokul Sahni"/>
    <x v="1"/>
    <x v="1"/>
    <n v="20"/>
  </r>
  <r>
    <n v="33"/>
    <s v="Mumbai"/>
    <s v="Male"/>
    <s v="Prerak Lalla"/>
    <x v="0"/>
    <x v="1"/>
    <n v="22"/>
  </r>
  <r>
    <n v="34"/>
    <s v="Pune"/>
    <s v="Male"/>
    <s v="Hrishita Shroff"/>
    <x v="3"/>
    <x v="1"/>
    <n v="23"/>
  </r>
  <r>
    <n v="35"/>
    <s v="Pune"/>
    <s v="Female"/>
    <s v="Oorja Sachar"/>
    <x v="1"/>
    <x v="1"/>
    <n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BF982D-8DBE-46DA-86FE-19A651580C9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6" firstHeaderRow="1" firstDataRow="1" firstDataCol="1"/>
  <pivotFields count="4">
    <pivotField showAll="0"/>
    <pivotField showAll="0"/>
    <pivotField dataField="1" showAll="0"/>
    <pivotField axis="axisRow" showAll="0">
      <items count="3">
        <item x="1"/>
        <item x="0"/>
        <item t="default"/>
      </items>
    </pivotField>
  </pivotFields>
  <rowFields count="1">
    <field x="3"/>
  </rowFields>
  <rowItems count="3">
    <i>
      <x/>
    </i>
    <i>
      <x v="1"/>
    </i>
    <i t="grand">
      <x/>
    </i>
  </rowItems>
  <colItems count="1">
    <i/>
  </colItems>
  <dataFields count="1">
    <dataField name="Average of Monthly_Fee" fld="2" subtotal="average" baseField="3" baseItem="0"/>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823939-F080-4682-B4D7-CF357CC5FB4A}"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K17" firstHeaderRow="1" firstDataRow="1" firstDataCol="1"/>
  <pivotFields count="7">
    <pivotField showAll="0"/>
    <pivotField numFmtId="164" showAll="0"/>
    <pivotField numFmtId="164" showAll="0"/>
    <pivotField showAll="0"/>
    <pivotField axis="axisRow" showAll="0">
      <items count="7">
        <item x="0"/>
        <item x="5"/>
        <item x="2"/>
        <item x="4"/>
        <item x="3"/>
        <item x="1"/>
        <item t="default"/>
      </items>
    </pivotField>
    <pivotField numFmtId="1" showAll="0"/>
    <pivotField dataField="1" showAll="0"/>
  </pivotFields>
  <rowFields count="1">
    <field x="4"/>
  </rowFields>
  <rowItems count="7">
    <i>
      <x/>
    </i>
    <i>
      <x v="1"/>
    </i>
    <i>
      <x v="2"/>
    </i>
    <i>
      <x v="3"/>
    </i>
    <i>
      <x v="4"/>
    </i>
    <i>
      <x v="5"/>
    </i>
    <i t="grand">
      <x/>
    </i>
  </rowItems>
  <colItems count="1">
    <i/>
  </colItems>
  <dataFields count="1">
    <dataField name="Sum of Total_revenue" fld="6"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5B25BD-697F-487E-96DD-D0C5FBE70153}"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7" firstHeaderRow="1" firstDataRow="1" firstDataCol="1"/>
  <pivotFields count="7">
    <pivotField showAll="0"/>
    <pivotField numFmtId="164" showAll="0"/>
    <pivotField numFmtId="164" showAll="0"/>
    <pivotField axis="axisRow" showAll="0">
      <items count="5">
        <item x="0"/>
        <item x="2"/>
        <item x="3"/>
        <item x="1"/>
        <item t="default"/>
      </items>
    </pivotField>
    <pivotField showAll="0"/>
    <pivotField numFmtId="1" showAll="0"/>
    <pivotField dataField="1" showAll="0"/>
  </pivotFields>
  <rowFields count="1">
    <field x="3"/>
  </rowFields>
  <rowItems count="5">
    <i>
      <x/>
    </i>
    <i>
      <x v="1"/>
    </i>
    <i>
      <x v="2"/>
    </i>
    <i>
      <x v="3"/>
    </i>
    <i t="grand">
      <x/>
    </i>
  </rowItems>
  <colItems count="1">
    <i/>
  </colItems>
  <dataFields count="1">
    <dataField name="Sum of Total_revenue" fld="6" baseField="0" baseItem="0"/>
  </dataField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F693F6-15D1-4347-8904-8457DDA056E1}"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
  <location ref="H3:J52" firstHeaderRow="0" firstDataRow="1" firstDataCol="1"/>
  <pivotFields count="6">
    <pivotField showAll="0"/>
    <pivotField axis="axisRow" showAll="0">
      <items count="7">
        <item x="0"/>
        <item x="5"/>
        <item x="2"/>
        <item x="4"/>
        <item x="3"/>
        <item x="1"/>
        <item t="default"/>
      </items>
    </pivotField>
    <pivotField axis="axisRow" showAll="0">
      <items count="5">
        <item x="0"/>
        <item x="2"/>
        <item x="3"/>
        <item x="1"/>
        <item t="default"/>
      </items>
    </pivotField>
    <pivotField showAll="0"/>
    <pivotField dataField="1" numFmtId="1" showAll="0"/>
    <pivotField axis="axisRow" showAll="0">
      <items count="3">
        <item x="1"/>
        <item x="0"/>
        <item t="default"/>
      </items>
    </pivotField>
  </pivotFields>
  <rowFields count="3">
    <field x="1"/>
    <field x="5"/>
    <field x="2"/>
  </rowFields>
  <rowItems count="49">
    <i>
      <x/>
    </i>
    <i r="1">
      <x/>
    </i>
    <i r="2">
      <x v="2"/>
    </i>
    <i r="2">
      <x v="3"/>
    </i>
    <i r="1">
      <x v="1"/>
    </i>
    <i r="2">
      <x/>
    </i>
    <i r="2">
      <x v="1"/>
    </i>
    <i r="2">
      <x v="3"/>
    </i>
    <i>
      <x v="1"/>
    </i>
    <i r="1">
      <x/>
    </i>
    <i r="2">
      <x v="1"/>
    </i>
    <i r="2">
      <x v="2"/>
    </i>
    <i r="2">
      <x v="3"/>
    </i>
    <i r="1">
      <x v="1"/>
    </i>
    <i r="2">
      <x/>
    </i>
    <i>
      <x v="2"/>
    </i>
    <i r="1">
      <x/>
    </i>
    <i r="2">
      <x/>
    </i>
    <i r="2">
      <x v="1"/>
    </i>
    <i r="2">
      <x v="3"/>
    </i>
    <i r="1">
      <x v="1"/>
    </i>
    <i r="2">
      <x v="3"/>
    </i>
    <i>
      <x v="3"/>
    </i>
    <i r="1">
      <x/>
    </i>
    <i r="2">
      <x v="1"/>
    </i>
    <i r="2">
      <x v="2"/>
    </i>
    <i r="1">
      <x v="1"/>
    </i>
    <i r="2">
      <x/>
    </i>
    <i r="2">
      <x v="1"/>
    </i>
    <i r="2">
      <x v="3"/>
    </i>
    <i>
      <x v="4"/>
    </i>
    <i r="1">
      <x/>
    </i>
    <i r="2">
      <x/>
    </i>
    <i r="2">
      <x v="1"/>
    </i>
    <i r="2">
      <x v="2"/>
    </i>
    <i r="2">
      <x v="3"/>
    </i>
    <i r="1">
      <x v="1"/>
    </i>
    <i r="2">
      <x/>
    </i>
    <i r="2">
      <x v="1"/>
    </i>
    <i r="2">
      <x v="2"/>
    </i>
    <i r="2">
      <x v="3"/>
    </i>
    <i>
      <x v="5"/>
    </i>
    <i r="1">
      <x/>
    </i>
    <i r="2">
      <x/>
    </i>
    <i r="2">
      <x v="3"/>
    </i>
    <i r="1">
      <x v="1"/>
    </i>
    <i r="2">
      <x/>
    </i>
    <i r="2">
      <x v="2"/>
    </i>
    <i t="grand">
      <x/>
    </i>
  </rowItems>
  <colFields count="1">
    <field x="-2"/>
  </colFields>
  <colItems count="2">
    <i>
      <x/>
    </i>
    <i i="1">
      <x v="1"/>
    </i>
  </colItems>
  <dataFields count="2">
    <dataField name="Sum of Total_Revenue" fld="4" baseField="0" baseItem="0" numFmtId="1"/>
    <dataField name="Average Revenue" fld="4" subtotal="average" baseField="1" baseItem="0" numFmtId="1"/>
  </dataFields>
  <chartFormats count="4">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F715D0-B6FC-4C15-8F68-D7A38CE2EB5B}"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6:E55" firstHeaderRow="0" firstDataRow="1" firstDataCol="1"/>
  <pivotFields count="6">
    <pivotField showAll="0"/>
    <pivotField axis="axisRow" showAll="0">
      <items count="7">
        <item x="0"/>
        <item x="5"/>
        <item x="2"/>
        <item x="4"/>
        <item x="3"/>
        <item x="1"/>
        <item t="default"/>
      </items>
    </pivotField>
    <pivotField axis="axisRow" showAll="0">
      <items count="5">
        <item x="0"/>
        <item x="2"/>
        <item x="3"/>
        <item x="1"/>
        <item t="default"/>
      </items>
    </pivotField>
    <pivotField showAll="0"/>
    <pivotField dataField="1" numFmtId="1" showAll="0"/>
    <pivotField axis="axisRow" showAll="0">
      <items count="3">
        <item x="1"/>
        <item x="0"/>
        <item t="default"/>
      </items>
    </pivotField>
  </pivotFields>
  <rowFields count="3">
    <field x="1"/>
    <field x="5"/>
    <field x="2"/>
  </rowFields>
  <rowItems count="49">
    <i>
      <x/>
    </i>
    <i r="1">
      <x/>
    </i>
    <i r="2">
      <x v="2"/>
    </i>
    <i r="2">
      <x v="3"/>
    </i>
    <i r="1">
      <x v="1"/>
    </i>
    <i r="2">
      <x/>
    </i>
    <i r="2">
      <x v="1"/>
    </i>
    <i r="2">
      <x v="3"/>
    </i>
    <i>
      <x v="1"/>
    </i>
    <i r="1">
      <x/>
    </i>
    <i r="2">
      <x v="1"/>
    </i>
    <i r="2">
      <x v="2"/>
    </i>
    <i r="2">
      <x v="3"/>
    </i>
    <i r="1">
      <x v="1"/>
    </i>
    <i r="2">
      <x/>
    </i>
    <i>
      <x v="2"/>
    </i>
    <i r="1">
      <x/>
    </i>
    <i r="2">
      <x/>
    </i>
    <i r="2">
      <x v="1"/>
    </i>
    <i r="2">
      <x v="3"/>
    </i>
    <i r="1">
      <x v="1"/>
    </i>
    <i r="2">
      <x v="3"/>
    </i>
    <i>
      <x v="3"/>
    </i>
    <i r="1">
      <x/>
    </i>
    <i r="2">
      <x v="1"/>
    </i>
    <i r="2">
      <x v="2"/>
    </i>
    <i r="1">
      <x v="1"/>
    </i>
    <i r="2">
      <x/>
    </i>
    <i r="2">
      <x v="1"/>
    </i>
    <i r="2">
      <x v="3"/>
    </i>
    <i>
      <x v="4"/>
    </i>
    <i r="1">
      <x/>
    </i>
    <i r="2">
      <x/>
    </i>
    <i r="2">
      <x v="1"/>
    </i>
    <i r="2">
      <x v="2"/>
    </i>
    <i r="2">
      <x v="3"/>
    </i>
    <i r="1">
      <x v="1"/>
    </i>
    <i r="2">
      <x/>
    </i>
    <i r="2">
      <x v="1"/>
    </i>
    <i r="2">
      <x v="2"/>
    </i>
    <i r="2">
      <x v="3"/>
    </i>
    <i>
      <x v="5"/>
    </i>
    <i r="1">
      <x/>
    </i>
    <i r="2">
      <x/>
    </i>
    <i r="2">
      <x v="3"/>
    </i>
    <i r="1">
      <x v="1"/>
    </i>
    <i r="2">
      <x/>
    </i>
    <i r="2">
      <x v="2"/>
    </i>
    <i t="grand">
      <x/>
    </i>
  </rowItems>
  <colFields count="1">
    <field x="-2"/>
  </colFields>
  <colItems count="2">
    <i>
      <x/>
    </i>
    <i i="1">
      <x v="1"/>
    </i>
  </colItems>
  <dataFields count="2">
    <dataField name="Sum of Total_Revenue" fld="4" baseField="0" baseItem="0" numFmtId="1"/>
    <dataField name="Average Revenue" fld="4" subtotal="average" baseField="1"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165DF4-FD97-40A5-B9E2-069B2D72E6EF}" name="PivotTable9" cacheId="3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I14:L20" firstHeaderRow="1" firstDataRow="2" firstDataCol="1"/>
  <pivotFields count="7">
    <pivotField showAll="0" defaultSubtotal="0"/>
    <pivotField showAll="0" defaultSubtotal="0"/>
    <pivotField showAll="0" defaultSubtotal="0"/>
    <pivotField dataField="1" showAll="0" defaultSubtotal="0"/>
    <pivotField axis="axisRow" showAll="0" defaultSubtotal="0">
      <items count="4">
        <item x="0"/>
        <item x="2"/>
        <item x="3"/>
        <item x="1"/>
      </items>
    </pivotField>
    <pivotField axis="axisCol" showAll="0" sortType="descending" defaultSubtotal="0">
      <items count="3">
        <item x="1"/>
        <item x="0"/>
        <item x="2"/>
      </items>
    </pivotField>
    <pivotField showAll="0" defaultSubtotal="0"/>
  </pivotFields>
  <rowFields count="1">
    <field x="4"/>
  </rowFields>
  <rowItems count="5">
    <i>
      <x/>
    </i>
    <i>
      <x v="1"/>
    </i>
    <i>
      <x v="2"/>
    </i>
    <i>
      <x v="3"/>
    </i>
    <i t="grand">
      <x/>
    </i>
  </rowItems>
  <colFields count="1">
    <field x="5"/>
  </colFields>
  <colItems count="3">
    <i>
      <x/>
    </i>
    <i>
      <x v="1"/>
    </i>
    <i>
      <x v="2"/>
    </i>
  </colItems>
  <dataFields count="1">
    <dataField name="Count of Full_Name" fld="3" subtotal="count"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38936F-5FF6-47BC-B476-B4E4A30258C1}" name="PivotTable7" cacheId="28"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I3:K11" firstHeaderRow="1" firstDataRow="2" firstDataCol="1"/>
  <pivotFields count="4">
    <pivotField dataField="1" showAll="0"/>
    <pivotField name="count of member per city" axis="axisRow" showAll="0">
      <items count="7">
        <item x="0"/>
        <item x="5"/>
        <item x="2"/>
        <item x="4"/>
        <item x="3"/>
        <item x="1"/>
        <item t="default"/>
      </items>
    </pivotField>
    <pivotField axis="axisCol" showAll="0" sortType="descending">
      <items count="3">
        <item x="0"/>
        <item x="1"/>
        <item t="default"/>
      </items>
    </pivotField>
    <pivotField showAll="0"/>
  </pivotFields>
  <rowFields count="1">
    <field x="1"/>
  </rowFields>
  <rowItems count="7">
    <i>
      <x/>
    </i>
    <i>
      <x v="1"/>
    </i>
    <i>
      <x v="2"/>
    </i>
    <i>
      <x v="3"/>
    </i>
    <i>
      <x v="4"/>
    </i>
    <i>
      <x v="5"/>
    </i>
    <i t="grand">
      <x/>
    </i>
  </rowItems>
  <colFields count="1">
    <field x="2"/>
  </colFields>
  <colItems count="2">
    <i>
      <x/>
    </i>
    <i>
      <x v="1"/>
    </i>
  </colItems>
  <dataFields count="1">
    <dataField name="Sum of Member_ID" fld="0" baseField="0" baseItem="0"/>
  </dataField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1BF2919-143C-4203-A2E5-8F68B1895F2D}" sourceName="City">
  <pivotTables>
    <pivotTable tabId="28" name="PivotTable5"/>
    <pivotTable tabId="30" name="PivotTable6"/>
  </pivotTables>
  <data>
    <tabular pivotCacheId="75773219">
      <items count="6">
        <i x="0" s="1"/>
        <i x="5" s="1"/>
        <i x="2" s="1"/>
        <i x="4"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C5C7B064-0948-408A-88EE-B5A5745C8B1D}" sourceName="Membership_Type">
  <pivotTables>
    <pivotTable tabId="28" name="PivotTable5"/>
    <pivotTable tabId="30" name="PivotTable6"/>
  </pivotTables>
  <data>
    <tabular pivotCacheId="75773219">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ed" xr10:uid="{0CD1C651-1C3E-4DAD-84F8-3E0EC5B0285E}" sourceName="Referred">
  <pivotTables>
    <pivotTable tabId="28" name="PivotTable5"/>
    <pivotTable tabId="30" name="PivotTable6"/>
  </pivotTables>
  <data>
    <tabular pivotCacheId="7577321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B7E2E23-AB96-4641-B66B-AC903D45C592}" cache="Slicer_City" caption="City" columnCount="3" style="SlicerStyleDark1" rowHeight="241300"/>
  <slicer name="Membership_Type" xr10:uid="{F032F1EB-5D9C-4FF8-9334-5D63F35D0992}" cache="Slicer_Membership_Type" caption="Membership_Type" columnCount="2" style="SlicerStyleLight4" rowHeight="241300"/>
  <slicer name="Referred" xr10:uid="{949952FC-8076-40E9-915F-700ACB2BD166}" cache="Slicer_Referred" caption="Referre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1480D-F262-4558-8044-E9BD0B7449C8}">
  <dimension ref="A1:K36"/>
  <sheetViews>
    <sheetView workbookViewId="0">
      <selection activeCell="M5" sqref="M5"/>
    </sheetView>
  </sheetViews>
  <sheetFormatPr defaultRowHeight="14.5" x14ac:dyDescent="0.35"/>
  <cols>
    <col min="1" max="1" width="10.6328125" customWidth="1"/>
    <col min="2" max="2" width="10.7265625" customWidth="1"/>
    <col min="5" max="5" width="12.26953125" customWidth="1"/>
    <col min="6" max="7" width="10.453125" bestFit="1" customWidth="1"/>
    <col min="10" max="10" width="11" customWidth="1"/>
    <col min="11" max="11" width="17.453125" customWidth="1"/>
  </cols>
  <sheetData>
    <row r="1" spans="1:11" ht="29.5" thickBot="1" x14ac:dyDescent="0.4">
      <c r="A1" s="1" t="s">
        <v>124</v>
      </c>
      <c r="B1" s="2" t="s">
        <v>0</v>
      </c>
      <c r="C1" s="3" t="s">
        <v>1</v>
      </c>
      <c r="D1" s="3" t="s">
        <v>2</v>
      </c>
      <c r="E1" s="3" t="s">
        <v>133</v>
      </c>
      <c r="F1" s="3" t="s">
        <v>4</v>
      </c>
      <c r="G1" s="3" t="s">
        <v>5</v>
      </c>
      <c r="H1" s="3" t="s">
        <v>6</v>
      </c>
      <c r="I1" s="3" t="s">
        <v>7</v>
      </c>
      <c r="J1" s="3" t="s">
        <v>8</v>
      </c>
      <c r="K1" s="4" t="s">
        <v>9</v>
      </c>
    </row>
    <row r="2" spans="1:11" ht="29.5" thickBot="1" x14ac:dyDescent="0.4">
      <c r="A2" s="5" t="s">
        <v>10</v>
      </c>
      <c r="B2" s="5" t="s">
        <v>11</v>
      </c>
      <c r="C2" s="6">
        <v>59</v>
      </c>
      <c r="D2" s="5" t="s">
        <v>12</v>
      </c>
      <c r="E2" s="5" t="s">
        <v>13</v>
      </c>
      <c r="F2" s="19">
        <v>45235</v>
      </c>
      <c r="G2" s="19">
        <v>45425</v>
      </c>
      <c r="H2" s="6">
        <v>800</v>
      </c>
      <c r="I2" s="6">
        <v>25</v>
      </c>
      <c r="J2" s="5" t="s">
        <v>14</v>
      </c>
      <c r="K2" s="7" t="s">
        <v>15</v>
      </c>
    </row>
    <row r="3" spans="1:11" ht="29.5" thickBot="1" x14ac:dyDescent="0.4">
      <c r="A3" s="5" t="s">
        <v>16</v>
      </c>
      <c r="B3" s="5" t="s">
        <v>17</v>
      </c>
      <c r="C3" s="6">
        <v>27</v>
      </c>
      <c r="D3" s="5" t="s">
        <v>12</v>
      </c>
      <c r="E3" s="5" t="s">
        <v>13</v>
      </c>
      <c r="F3" s="19">
        <v>45714</v>
      </c>
      <c r="G3" s="19">
        <v>45740</v>
      </c>
      <c r="H3" s="6">
        <v>800</v>
      </c>
      <c r="I3" s="6">
        <v>20</v>
      </c>
      <c r="J3" s="5" t="s">
        <v>18</v>
      </c>
      <c r="K3" s="7" t="s">
        <v>19</v>
      </c>
    </row>
    <row r="4" spans="1:11" ht="29.5" thickBot="1" x14ac:dyDescent="0.4">
      <c r="A4" s="5" t="s">
        <v>20</v>
      </c>
      <c r="B4" s="5" t="s">
        <v>21</v>
      </c>
      <c r="C4" s="6">
        <v>24</v>
      </c>
      <c r="D4" s="5" t="s">
        <v>12</v>
      </c>
      <c r="E4" s="5" t="s">
        <v>22</v>
      </c>
      <c r="F4" s="19">
        <v>45191</v>
      </c>
      <c r="G4" s="19">
        <v>45371</v>
      </c>
      <c r="H4" s="6">
        <v>1200</v>
      </c>
      <c r="I4" s="6">
        <v>18</v>
      </c>
      <c r="J4" s="5" t="s">
        <v>23</v>
      </c>
      <c r="K4" s="7" t="s">
        <v>24</v>
      </c>
    </row>
    <row r="5" spans="1:11" ht="29.5" thickBot="1" x14ac:dyDescent="0.4">
      <c r="A5" s="5" t="s">
        <v>25</v>
      </c>
      <c r="B5" s="5" t="s">
        <v>26</v>
      </c>
      <c r="C5" s="6">
        <v>31</v>
      </c>
      <c r="D5" s="5" t="s">
        <v>27</v>
      </c>
      <c r="E5" s="5" t="s">
        <v>22</v>
      </c>
      <c r="F5" s="19">
        <v>45479</v>
      </c>
      <c r="G5" s="19">
        <v>45587</v>
      </c>
      <c r="H5" s="6">
        <v>1200</v>
      </c>
      <c r="I5" s="6">
        <v>16</v>
      </c>
      <c r="J5" s="5" t="s">
        <v>23</v>
      </c>
      <c r="K5" s="7" t="s">
        <v>28</v>
      </c>
    </row>
    <row r="6" spans="1:11" ht="29.5" thickBot="1" x14ac:dyDescent="0.4">
      <c r="A6" s="5" t="s">
        <v>29</v>
      </c>
      <c r="B6" s="5" t="s">
        <v>30</v>
      </c>
      <c r="C6" s="6">
        <v>19</v>
      </c>
      <c r="D6" s="5" t="s">
        <v>12</v>
      </c>
      <c r="E6" s="5" t="s">
        <v>31</v>
      </c>
      <c r="F6" s="19">
        <v>45286</v>
      </c>
      <c r="G6" s="19">
        <v>45501</v>
      </c>
      <c r="H6" s="6">
        <v>2500</v>
      </c>
      <c r="I6" s="6">
        <v>12</v>
      </c>
      <c r="J6" s="5" t="s">
        <v>14</v>
      </c>
      <c r="K6" s="7" t="s">
        <v>32</v>
      </c>
    </row>
    <row r="7" spans="1:11" ht="29.5" thickBot="1" x14ac:dyDescent="0.4">
      <c r="A7" s="5" t="s">
        <v>33</v>
      </c>
      <c r="B7" s="5" t="s">
        <v>34</v>
      </c>
      <c r="C7" s="6">
        <v>40</v>
      </c>
      <c r="D7" s="5" t="s">
        <v>12</v>
      </c>
      <c r="E7" s="5" t="s">
        <v>13</v>
      </c>
      <c r="F7" s="19">
        <v>45317</v>
      </c>
      <c r="G7" s="19">
        <v>45392</v>
      </c>
      <c r="H7" s="6">
        <v>800</v>
      </c>
      <c r="I7" s="6">
        <v>14</v>
      </c>
      <c r="J7" s="5" t="s">
        <v>35</v>
      </c>
      <c r="K7" s="7" t="s">
        <v>36</v>
      </c>
    </row>
    <row r="8" spans="1:11" ht="15" thickBot="1" x14ac:dyDescent="0.4">
      <c r="A8" s="5" t="s">
        <v>37</v>
      </c>
      <c r="B8" s="5" t="s">
        <v>38</v>
      </c>
      <c r="C8" s="6">
        <v>41</v>
      </c>
      <c r="D8" s="5" t="s">
        <v>27</v>
      </c>
      <c r="E8" s="5" t="s">
        <v>13</v>
      </c>
      <c r="F8" s="19">
        <v>45588</v>
      </c>
      <c r="G8" s="19">
        <v>45677</v>
      </c>
      <c r="H8" s="6">
        <v>800</v>
      </c>
      <c r="I8" s="6">
        <v>25</v>
      </c>
      <c r="J8" s="5" t="s">
        <v>18</v>
      </c>
      <c r="K8" s="5"/>
    </row>
    <row r="9" spans="1:11" ht="29.5" thickBot="1" x14ac:dyDescent="0.4">
      <c r="A9" s="5" t="s">
        <v>39</v>
      </c>
      <c r="B9" s="5" t="s">
        <v>40</v>
      </c>
      <c r="C9" s="6">
        <v>43</v>
      </c>
      <c r="D9" s="5" t="s">
        <v>12</v>
      </c>
      <c r="E9" s="5" t="s">
        <v>41</v>
      </c>
      <c r="F9" s="19">
        <v>45450</v>
      </c>
      <c r="G9" s="19">
        <v>45563</v>
      </c>
      <c r="H9" s="6">
        <v>1800</v>
      </c>
      <c r="I9" s="6">
        <v>28</v>
      </c>
      <c r="J9" s="5" t="s">
        <v>42</v>
      </c>
      <c r="K9" s="5"/>
    </row>
    <row r="10" spans="1:11" ht="15" thickBot="1" x14ac:dyDescent="0.4">
      <c r="A10" s="5" t="s">
        <v>43</v>
      </c>
      <c r="B10" s="5" t="s">
        <v>44</v>
      </c>
      <c r="C10" s="6">
        <v>42</v>
      </c>
      <c r="D10" s="5" t="s">
        <v>12</v>
      </c>
      <c r="E10" s="5" t="s">
        <v>13</v>
      </c>
      <c r="F10" s="19">
        <v>45569</v>
      </c>
      <c r="G10" s="19">
        <v>45582</v>
      </c>
      <c r="H10" s="6">
        <v>800</v>
      </c>
      <c r="I10" s="6">
        <v>3</v>
      </c>
      <c r="J10" s="5" t="s">
        <v>42</v>
      </c>
      <c r="K10" s="7" t="s">
        <v>45</v>
      </c>
    </row>
    <row r="11" spans="1:11" ht="29.5" thickBot="1" x14ac:dyDescent="0.4">
      <c r="A11" s="5" t="s">
        <v>46</v>
      </c>
      <c r="B11" s="5" t="s">
        <v>47</v>
      </c>
      <c r="C11" s="6">
        <v>37</v>
      </c>
      <c r="D11" s="5" t="s">
        <v>12</v>
      </c>
      <c r="E11" s="5" t="s">
        <v>22</v>
      </c>
      <c r="F11" s="19">
        <v>45202</v>
      </c>
      <c r="G11" s="19">
        <v>45280</v>
      </c>
      <c r="H11" s="6">
        <v>1200</v>
      </c>
      <c r="I11" s="6">
        <v>29</v>
      </c>
      <c r="J11" s="5" t="s">
        <v>35</v>
      </c>
      <c r="K11" s="7" t="s">
        <v>48</v>
      </c>
    </row>
    <row r="12" spans="1:11" ht="29.5" thickBot="1" x14ac:dyDescent="0.4">
      <c r="A12" s="5" t="s">
        <v>49</v>
      </c>
      <c r="B12" s="5" t="s">
        <v>50</v>
      </c>
      <c r="C12" s="6">
        <v>48</v>
      </c>
      <c r="D12" s="5" t="s">
        <v>27</v>
      </c>
      <c r="E12" s="5" t="s">
        <v>22</v>
      </c>
      <c r="F12" s="19">
        <v>45297</v>
      </c>
      <c r="G12" s="19">
        <v>45459</v>
      </c>
      <c r="H12" s="6">
        <v>1200</v>
      </c>
      <c r="I12" s="6">
        <v>13</v>
      </c>
      <c r="J12" s="5" t="s">
        <v>14</v>
      </c>
      <c r="K12" s="7" t="s">
        <v>51</v>
      </c>
    </row>
    <row r="13" spans="1:11" ht="29.5" thickBot="1" x14ac:dyDescent="0.4">
      <c r="A13" s="5" t="s">
        <v>52</v>
      </c>
      <c r="B13" s="5" t="s">
        <v>53</v>
      </c>
      <c r="C13" s="6">
        <v>36</v>
      </c>
      <c r="D13" s="5" t="s">
        <v>12</v>
      </c>
      <c r="E13" s="5" t="s">
        <v>22</v>
      </c>
      <c r="F13" s="19">
        <v>45154</v>
      </c>
      <c r="G13" s="19">
        <v>45568</v>
      </c>
      <c r="H13" s="6">
        <v>1200</v>
      </c>
      <c r="I13" s="6">
        <v>19</v>
      </c>
      <c r="J13" s="5" t="s">
        <v>42</v>
      </c>
      <c r="K13" s="7" t="s">
        <v>54</v>
      </c>
    </row>
    <row r="14" spans="1:11" ht="29.5" thickBot="1" x14ac:dyDescent="0.4">
      <c r="A14" s="5" t="s">
        <v>55</v>
      </c>
      <c r="B14" s="5" t="s">
        <v>56</v>
      </c>
      <c r="C14" s="6">
        <v>48</v>
      </c>
      <c r="D14" s="5" t="s">
        <v>27</v>
      </c>
      <c r="E14" s="5" t="s">
        <v>41</v>
      </c>
      <c r="F14" s="19">
        <v>45556</v>
      </c>
      <c r="G14" s="19">
        <v>45641</v>
      </c>
      <c r="H14" s="6">
        <v>1800</v>
      </c>
      <c r="I14" s="6">
        <v>22</v>
      </c>
      <c r="J14" s="5" t="s">
        <v>42</v>
      </c>
      <c r="K14" s="5"/>
    </row>
    <row r="15" spans="1:11" ht="15" thickBot="1" x14ac:dyDescent="0.4">
      <c r="A15" s="5" t="s">
        <v>57</v>
      </c>
      <c r="B15" s="5" t="s">
        <v>58</v>
      </c>
      <c r="C15" s="6">
        <v>39</v>
      </c>
      <c r="D15" s="5" t="s">
        <v>12</v>
      </c>
      <c r="E15" s="5" t="s">
        <v>22</v>
      </c>
      <c r="F15" s="19">
        <v>45065</v>
      </c>
      <c r="G15" s="19">
        <v>45242</v>
      </c>
      <c r="H15" s="6">
        <v>1200</v>
      </c>
      <c r="I15" s="6">
        <v>28</v>
      </c>
      <c r="J15" s="5" t="s">
        <v>35</v>
      </c>
      <c r="K15" s="5"/>
    </row>
    <row r="16" spans="1:11" ht="15" thickBot="1" x14ac:dyDescent="0.4">
      <c r="A16" s="5" t="s">
        <v>59</v>
      </c>
      <c r="B16" s="5" t="s">
        <v>60</v>
      </c>
      <c r="C16" s="6">
        <v>44</v>
      </c>
      <c r="D16" s="5" t="s">
        <v>27</v>
      </c>
      <c r="E16" s="5" t="s">
        <v>13</v>
      </c>
      <c r="F16" s="19">
        <v>45333</v>
      </c>
      <c r="G16" s="19">
        <v>45540</v>
      </c>
      <c r="H16" s="6">
        <v>800</v>
      </c>
      <c r="I16" s="6">
        <v>8</v>
      </c>
      <c r="J16" s="7" t="s">
        <v>23</v>
      </c>
      <c r="K16" s="5"/>
    </row>
    <row r="17" spans="1:11" ht="29.5" thickBot="1" x14ac:dyDescent="0.4">
      <c r="A17" s="5" t="s">
        <v>61</v>
      </c>
      <c r="B17" s="5" t="s">
        <v>62</v>
      </c>
      <c r="C17" s="6">
        <v>39</v>
      </c>
      <c r="D17" s="5" t="s">
        <v>12</v>
      </c>
      <c r="E17" s="5" t="s">
        <v>31</v>
      </c>
      <c r="F17" s="19">
        <v>45702</v>
      </c>
      <c r="G17" s="19">
        <v>45732</v>
      </c>
      <c r="H17" s="6">
        <v>2500</v>
      </c>
      <c r="I17" s="6">
        <v>14</v>
      </c>
      <c r="J17" s="5" t="s">
        <v>42</v>
      </c>
      <c r="K17" s="5"/>
    </row>
    <row r="18" spans="1:11" ht="15" thickBot="1" x14ac:dyDescent="0.4">
      <c r="A18" s="5" t="s">
        <v>63</v>
      </c>
      <c r="B18" s="5" t="s">
        <v>64</v>
      </c>
      <c r="C18" s="6">
        <v>35</v>
      </c>
      <c r="D18" s="5" t="s">
        <v>12</v>
      </c>
      <c r="E18" s="5" t="s">
        <v>22</v>
      </c>
      <c r="F18" s="19">
        <v>45329</v>
      </c>
      <c r="G18" s="19">
        <v>45685</v>
      </c>
      <c r="H18" s="6">
        <v>1200</v>
      </c>
      <c r="I18" s="6">
        <v>25</v>
      </c>
      <c r="J18" s="7" t="s">
        <v>23</v>
      </c>
      <c r="K18" s="5"/>
    </row>
    <row r="19" spans="1:11" ht="29.5" thickBot="1" x14ac:dyDescent="0.4">
      <c r="A19" s="5" t="s">
        <v>65</v>
      </c>
      <c r="B19" s="5" t="s">
        <v>66</v>
      </c>
      <c r="C19" s="6">
        <v>56</v>
      </c>
      <c r="D19" s="5" t="s">
        <v>27</v>
      </c>
      <c r="E19" s="5" t="s">
        <v>31</v>
      </c>
      <c r="F19" s="19">
        <v>45213</v>
      </c>
      <c r="G19" s="19">
        <v>45649</v>
      </c>
      <c r="H19" s="6">
        <v>2500</v>
      </c>
      <c r="I19" s="6">
        <v>13</v>
      </c>
      <c r="J19" s="5" t="s">
        <v>67</v>
      </c>
      <c r="K19" s="5"/>
    </row>
    <row r="20" spans="1:11" ht="15" thickBot="1" x14ac:dyDescent="0.4">
      <c r="A20" s="5" t="s">
        <v>68</v>
      </c>
      <c r="B20" s="5" t="s">
        <v>69</v>
      </c>
      <c r="C20" s="6">
        <v>27</v>
      </c>
      <c r="D20" s="5" t="s">
        <v>27</v>
      </c>
      <c r="E20" s="5" t="s">
        <v>13</v>
      </c>
      <c r="F20" s="19">
        <v>45354</v>
      </c>
      <c r="G20" s="19">
        <v>45664</v>
      </c>
      <c r="H20" s="6">
        <v>800</v>
      </c>
      <c r="I20" s="6">
        <v>26</v>
      </c>
      <c r="J20" s="5" t="s">
        <v>35</v>
      </c>
      <c r="K20" s="5"/>
    </row>
    <row r="21" spans="1:11" ht="29.5" thickBot="1" x14ac:dyDescent="0.4">
      <c r="A21" s="5" t="s">
        <v>70</v>
      </c>
      <c r="B21" s="5" t="s">
        <v>71</v>
      </c>
      <c r="C21" s="6">
        <v>28</v>
      </c>
      <c r="D21" s="5" t="s">
        <v>12</v>
      </c>
      <c r="E21" s="5" t="s">
        <v>31</v>
      </c>
      <c r="F21" s="19">
        <v>45417</v>
      </c>
      <c r="G21" s="19">
        <v>45608</v>
      </c>
      <c r="H21" s="6">
        <v>2500</v>
      </c>
      <c r="I21" s="6">
        <v>21</v>
      </c>
      <c r="J21" s="5" t="s">
        <v>35</v>
      </c>
      <c r="K21" s="7" t="s">
        <v>72</v>
      </c>
    </row>
    <row r="22" spans="1:11" ht="29.5" thickBot="1" x14ac:dyDescent="0.4">
      <c r="A22" s="5" t="s">
        <v>73</v>
      </c>
      <c r="B22" s="5" t="s">
        <v>74</v>
      </c>
      <c r="C22" s="6">
        <v>57</v>
      </c>
      <c r="D22" s="5" t="s">
        <v>27</v>
      </c>
      <c r="E22" s="5" t="s">
        <v>41</v>
      </c>
      <c r="F22" s="19">
        <v>45146</v>
      </c>
      <c r="G22" s="19">
        <v>45674</v>
      </c>
      <c r="H22" s="6">
        <v>1800</v>
      </c>
      <c r="I22" s="6">
        <v>19</v>
      </c>
      <c r="J22" s="5" t="s">
        <v>35</v>
      </c>
      <c r="K22" s="5"/>
    </row>
    <row r="23" spans="1:11" ht="29.5" thickBot="1" x14ac:dyDescent="0.4">
      <c r="A23" s="5" t="s">
        <v>75</v>
      </c>
      <c r="B23" s="5" t="s">
        <v>76</v>
      </c>
      <c r="C23" s="6">
        <v>26</v>
      </c>
      <c r="D23" s="5" t="s">
        <v>27</v>
      </c>
      <c r="E23" s="5" t="s">
        <v>41</v>
      </c>
      <c r="F23" s="19">
        <v>45320</v>
      </c>
      <c r="G23" s="19">
        <v>45616</v>
      </c>
      <c r="H23" s="6">
        <v>1800</v>
      </c>
      <c r="I23" s="6">
        <v>5</v>
      </c>
      <c r="J23" s="7" t="s">
        <v>14</v>
      </c>
      <c r="K23" s="5"/>
    </row>
    <row r="24" spans="1:11" ht="15" thickBot="1" x14ac:dyDescent="0.4">
      <c r="A24" s="5" t="s">
        <v>77</v>
      </c>
      <c r="B24" s="5" t="s">
        <v>78</v>
      </c>
      <c r="C24" s="6">
        <v>48</v>
      </c>
      <c r="D24" s="5" t="s">
        <v>12</v>
      </c>
      <c r="E24" s="5" t="s">
        <v>41</v>
      </c>
      <c r="F24" s="19">
        <v>45451</v>
      </c>
      <c r="G24" s="19">
        <v>45455</v>
      </c>
      <c r="H24" s="6">
        <v>1800</v>
      </c>
      <c r="I24" s="6">
        <v>18</v>
      </c>
      <c r="J24" s="5" t="s">
        <v>67</v>
      </c>
      <c r="K24" s="5"/>
    </row>
    <row r="25" spans="1:11" ht="15" thickBot="1" x14ac:dyDescent="0.4">
      <c r="A25" s="5" t="s">
        <v>79</v>
      </c>
      <c r="B25" s="5" t="s">
        <v>80</v>
      </c>
      <c r="C25" s="6">
        <v>25</v>
      </c>
      <c r="D25" s="5" t="s">
        <v>27</v>
      </c>
      <c r="E25" s="5" t="s">
        <v>22</v>
      </c>
      <c r="F25" s="19">
        <v>45439</v>
      </c>
      <c r="G25" s="19">
        <v>45730</v>
      </c>
      <c r="H25" s="6">
        <v>1200</v>
      </c>
      <c r="I25" s="6">
        <v>6</v>
      </c>
      <c r="J25" s="7" t="s">
        <v>14</v>
      </c>
      <c r="K25" s="5"/>
    </row>
    <row r="26" spans="1:11" ht="15" thickBot="1" x14ac:dyDescent="0.4">
      <c r="A26" s="5" t="s">
        <v>81</v>
      </c>
      <c r="B26" s="5" t="s">
        <v>82</v>
      </c>
      <c r="C26" s="6">
        <v>53</v>
      </c>
      <c r="D26" s="5" t="s">
        <v>12</v>
      </c>
      <c r="E26" s="5" t="s">
        <v>41</v>
      </c>
      <c r="F26" s="19">
        <v>45286</v>
      </c>
      <c r="G26" s="19">
        <v>45372</v>
      </c>
      <c r="H26" s="6">
        <v>1800</v>
      </c>
      <c r="I26" s="6">
        <v>17</v>
      </c>
      <c r="J26" s="5" t="s">
        <v>35</v>
      </c>
      <c r="K26" s="7" t="s">
        <v>83</v>
      </c>
    </row>
    <row r="27" spans="1:11" ht="15" thickBot="1" x14ac:dyDescent="0.4">
      <c r="A27" s="5" t="s">
        <v>84</v>
      </c>
      <c r="B27" s="5" t="s">
        <v>85</v>
      </c>
      <c r="C27" s="6">
        <v>42</v>
      </c>
      <c r="D27" s="5" t="s">
        <v>27</v>
      </c>
      <c r="E27" s="5" t="s">
        <v>22</v>
      </c>
      <c r="F27" s="19">
        <v>45702</v>
      </c>
      <c r="G27" s="19">
        <v>45727</v>
      </c>
      <c r="H27" s="6">
        <v>1200</v>
      </c>
      <c r="I27" s="6">
        <v>3</v>
      </c>
      <c r="J27" s="5" t="s">
        <v>67</v>
      </c>
      <c r="K27" s="5"/>
    </row>
    <row r="28" spans="1:11" ht="29.5" thickBot="1" x14ac:dyDescent="0.4">
      <c r="A28" s="5" t="s">
        <v>86</v>
      </c>
      <c r="B28" s="5" t="s">
        <v>87</v>
      </c>
      <c r="C28" s="6">
        <v>24</v>
      </c>
      <c r="D28" s="5" t="s">
        <v>12</v>
      </c>
      <c r="E28" s="5" t="s">
        <v>31</v>
      </c>
      <c r="F28" s="19">
        <v>45698</v>
      </c>
      <c r="G28" s="19">
        <v>45726</v>
      </c>
      <c r="H28" s="6">
        <v>2500</v>
      </c>
      <c r="I28" s="6">
        <v>28</v>
      </c>
      <c r="J28" s="5" t="s">
        <v>35</v>
      </c>
      <c r="K28" s="5"/>
    </row>
    <row r="29" spans="1:11" ht="29.5" thickBot="1" x14ac:dyDescent="0.4">
      <c r="A29" s="5" t="s">
        <v>88</v>
      </c>
      <c r="B29" s="5" t="s">
        <v>89</v>
      </c>
      <c r="C29" s="6">
        <v>53</v>
      </c>
      <c r="D29" s="5" t="s">
        <v>12</v>
      </c>
      <c r="E29" s="5" t="s">
        <v>22</v>
      </c>
      <c r="F29" s="19">
        <v>45614</v>
      </c>
      <c r="G29" s="19">
        <v>45645</v>
      </c>
      <c r="H29" s="6">
        <v>1200</v>
      </c>
      <c r="I29" s="6">
        <v>23</v>
      </c>
      <c r="J29" s="5" t="s">
        <v>18</v>
      </c>
      <c r="K29" s="5"/>
    </row>
    <row r="30" spans="1:11" ht="29.5" thickBot="1" x14ac:dyDescent="0.4">
      <c r="A30" s="5" t="s">
        <v>90</v>
      </c>
      <c r="B30" s="5" t="s">
        <v>91</v>
      </c>
      <c r="C30" s="6">
        <v>29</v>
      </c>
      <c r="D30" s="5" t="s">
        <v>27</v>
      </c>
      <c r="E30" s="5" t="s">
        <v>31</v>
      </c>
      <c r="F30" s="19">
        <v>45401</v>
      </c>
      <c r="G30" s="19">
        <v>45408</v>
      </c>
      <c r="H30" s="6">
        <v>2500</v>
      </c>
      <c r="I30" s="6">
        <v>8</v>
      </c>
      <c r="J30" s="7" t="s">
        <v>23</v>
      </c>
      <c r="K30" s="5"/>
    </row>
    <row r="31" spans="1:11" ht="15" thickBot="1" x14ac:dyDescent="0.4">
      <c r="A31" s="5" t="s">
        <v>92</v>
      </c>
      <c r="B31" s="5" t="s">
        <v>93</v>
      </c>
      <c r="C31" s="6">
        <v>31</v>
      </c>
      <c r="D31" s="5" t="s">
        <v>27</v>
      </c>
      <c r="E31" s="5" t="s">
        <v>31</v>
      </c>
      <c r="F31" s="19">
        <v>45667</v>
      </c>
      <c r="G31" s="19">
        <v>45745</v>
      </c>
      <c r="H31" s="6">
        <v>2500</v>
      </c>
      <c r="I31" s="6">
        <v>23</v>
      </c>
      <c r="J31" s="5" t="s">
        <v>42</v>
      </c>
      <c r="K31" s="7" t="s">
        <v>94</v>
      </c>
    </row>
    <row r="32" spans="1:11" ht="15" thickBot="1" x14ac:dyDescent="0.4">
      <c r="A32" s="5" t="s">
        <v>95</v>
      </c>
      <c r="B32" s="5" t="s">
        <v>96</v>
      </c>
      <c r="C32" s="6">
        <v>52</v>
      </c>
      <c r="D32" s="5" t="s">
        <v>27</v>
      </c>
      <c r="E32" s="5" t="s">
        <v>13</v>
      </c>
      <c r="F32" s="19">
        <v>45088</v>
      </c>
      <c r="G32" s="19">
        <v>45656</v>
      </c>
      <c r="H32" s="6">
        <v>800</v>
      </c>
      <c r="I32" s="6">
        <v>9</v>
      </c>
      <c r="J32" s="5" t="s">
        <v>67</v>
      </c>
      <c r="K32" s="7" t="s">
        <v>97</v>
      </c>
    </row>
    <row r="33" spans="1:11" ht="15" thickBot="1" x14ac:dyDescent="0.4">
      <c r="A33" s="5" t="s">
        <v>98</v>
      </c>
      <c r="B33" s="5" t="s">
        <v>99</v>
      </c>
      <c r="C33" s="6">
        <v>20</v>
      </c>
      <c r="D33" s="5" t="s">
        <v>12</v>
      </c>
      <c r="E33" s="5" t="s">
        <v>22</v>
      </c>
      <c r="F33" s="19">
        <v>45391</v>
      </c>
      <c r="G33" s="19">
        <v>45604</v>
      </c>
      <c r="H33" s="6">
        <v>1200</v>
      </c>
      <c r="I33" s="6">
        <v>2</v>
      </c>
      <c r="J33" s="5" t="s">
        <v>35</v>
      </c>
      <c r="K33" s="5"/>
    </row>
    <row r="34" spans="1:11" ht="15" thickBot="1" x14ac:dyDescent="0.4">
      <c r="A34" s="5" t="s">
        <v>100</v>
      </c>
      <c r="B34" s="5" t="s">
        <v>101</v>
      </c>
      <c r="C34" s="6">
        <v>22</v>
      </c>
      <c r="D34" s="5" t="s">
        <v>12</v>
      </c>
      <c r="E34" s="5" t="s">
        <v>13</v>
      </c>
      <c r="F34" s="19">
        <v>45699</v>
      </c>
      <c r="G34" s="19">
        <v>45740</v>
      </c>
      <c r="H34" s="6">
        <v>800</v>
      </c>
      <c r="I34" s="6">
        <v>30</v>
      </c>
      <c r="J34" s="5" t="s">
        <v>35</v>
      </c>
      <c r="K34" s="5"/>
    </row>
    <row r="35" spans="1:11" ht="29.5" thickBot="1" x14ac:dyDescent="0.4">
      <c r="A35" s="5" t="s">
        <v>102</v>
      </c>
      <c r="B35" s="5" t="s">
        <v>103</v>
      </c>
      <c r="C35" s="6">
        <v>23</v>
      </c>
      <c r="D35" s="5" t="s">
        <v>12</v>
      </c>
      <c r="E35" s="5" t="s">
        <v>41</v>
      </c>
      <c r="F35" s="19">
        <v>45588</v>
      </c>
      <c r="G35" s="19">
        <v>45721</v>
      </c>
      <c r="H35" s="6">
        <v>1800</v>
      </c>
      <c r="I35" s="6">
        <v>23</v>
      </c>
      <c r="J35" s="5" t="s">
        <v>18</v>
      </c>
      <c r="K35" s="7" t="s">
        <v>104</v>
      </c>
    </row>
    <row r="36" spans="1:11" ht="29.5" thickBot="1" x14ac:dyDescent="0.4">
      <c r="A36" s="5" t="s">
        <v>105</v>
      </c>
      <c r="B36" s="5" t="s">
        <v>106</v>
      </c>
      <c r="C36" s="6">
        <v>27</v>
      </c>
      <c r="D36" s="5" t="s">
        <v>27</v>
      </c>
      <c r="E36" s="5" t="s">
        <v>22</v>
      </c>
      <c r="F36" s="19">
        <v>45312</v>
      </c>
      <c r="G36" s="19">
        <v>45652</v>
      </c>
      <c r="H36" s="6">
        <v>1200</v>
      </c>
      <c r="I36" s="6">
        <v>27</v>
      </c>
      <c r="J36" s="5" t="s">
        <v>18</v>
      </c>
      <c r="K36"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CC6CD-3FF0-4F6F-A181-6AC08FC60A30}">
  <dimension ref="A1:E37"/>
  <sheetViews>
    <sheetView workbookViewId="0">
      <selection activeCell="E2" sqref="E2"/>
    </sheetView>
  </sheetViews>
  <sheetFormatPr defaultRowHeight="14.5" x14ac:dyDescent="0.35"/>
  <cols>
    <col min="1" max="2" width="10.08984375" bestFit="1" customWidth="1"/>
    <col min="3" max="3" width="26.81640625" bestFit="1" customWidth="1"/>
  </cols>
  <sheetData>
    <row r="1" spans="1:5" ht="15" thickBot="1" x14ac:dyDescent="0.4">
      <c r="A1" s="12"/>
      <c r="B1" s="12"/>
      <c r="C1" s="12"/>
    </row>
    <row r="2" spans="1:5" ht="15" thickBot="1" x14ac:dyDescent="0.4">
      <c r="A2" s="33" t="s">
        <v>108</v>
      </c>
      <c r="B2" s="34" t="s">
        <v>107</v>
      </c>
      <c r="C2" s="34" t="s">
        <v>109</v>
      </c>
      <c r="E2" t="s">
        <v>145</v>
      </c>
    </row>
    <row r="3" spans="1:5" ht="15" thickBot="1" x14ac:dyDescent="0.4">
      <c r="A3" s="8">
        <v>45235</v>
      </c>
      <c r="B3" s="8">
        <v>45425</v>
      </c>
      <c r="C3" s="9">
        <f>(B3-A3)/30</f>
        <v>6.333333333333333</v>
      </c>
      <c r="E3" t="s">
        <v>142</v>
      </c>
    </row>
    <row r="4" spans="1:5" ht="15" thickBot="1" x14ac:dyDescent="0.4">
      <c r="A4" s="8">
        <v>45714</v>
      </c>
      <c r="B4" s="8">
        <v>45740</v>
      </c>
      <c r="C4" s="9">
        <f t="shared" ref="C4:C37" si="0">(B4-A4)/30</f>
        <v>0.8666666666666667</v>
      </c>
      <c r="E4" t="s">
        <v>143</v>
      </c>
    </row>
    <row r="5" spans="1:5" ht="15" thickBot="1" x14ac:dyDescent="0.4">
      <c r="A5" s="8">
        <v>45191</v>
      </c>
      <c r="B5" s="8">
        <v>45371</v>
      </c>
      <c r="C5" s="9">
        <f t="shared" si="0"/>
        <v>6</v>
      </c>
      <c r="E5" t="s">
        <v>144</v>
      </c>
    </row>
    <row r="6" spans="1:5" ht="15" thickBot="1" x14ac:dyDescent="0.4">
      <c r="A6" s="8">
        <v>45479</v>
      </c>
      <c r="B6" s="8">
        <v>45587</v>
      </c>
      <c r="C6" s="9">
        <f t="shared" si="0"/>
        <v>3.6</v>
      </c>
    </row>
    <row r="7" spans="1:5" ht="15" thickBot="1" x14ac:dyDescent="0.4">
      <c r="A7" s="8">
        <v>45286</v>
      </c>
      <c r="B7" s="8">
        <v>45501</v>
      </c>
      <c r="C7" s="9">
        <f t="shared" si="0"/>
        <v>7.166666666666667</v>
      </c>
    </row>
    <row r="8" spans="1:5" ht="15" thickBot="1" x14ac:dyDescent="0.4">
      <c r="A8" s="8">
        <v>45317</v>
      </c>
      <c r="B8" s="8">
        <v>45392</v>
      </c>
      <c r="C8" s="9">
        <f t="shared" si="0"/>
        <v>2.5</v>
      </c>
    </row>
    <row r="9" spans="1:5" ht="15" thickBot="1" x14ac:dyDescent="0.4">
      <c r="A9" s="8">
        <v>45588</v>
      </c>
      <c r="B9" s="8">
        <v>45677</v>
      </c>
      <c r="C9" s="9">
        <f t="shared" si="0"/>
        <v>2.9666666666666668</v>
      </c>
    </row>
    <row r="10" spans="1:5" ht="15" thickBot="1" x14ac:dyDescent="0.4">
      <c r="A10" s="8">
        <v>45450</v>
      </c>
      <c r="B10" s="8">
        <v>45563</v>
      </c>
      <c r="C10" s="9">
        <f t="shared" si="0"/>
        <v>3.7666666666666666</v>
      </c>
    </row>
    <row r="11" spans="1:5" ht="15" thickBot="1" x14ac:dyDescent="0.4">
      <c r="A11" s="8">
        <v>45569</v>
      </c>
      <c r="B11" s="8">
        <v>45582</v>
      </c>
      <c r="C11" s="9">
        <f t="shared" si="0"/>
        <v>0.43333333333333335</v>
      </c>
    </row>
    <row r="12" spans="1:5" ht="15" thickBot="1" x14ac:dyDescent="0.4">
      <c r="A12" s="8">
        <v>45202</v>
      </c>
      <c r="B12" s="8">
        <v>45280</v>
      </c>
      <c r="C12" s="9">
        <f t="shared" si="0"/>
        <v>2.6</v>
      </c>
    </row>
    <row r="13" spans="1:5" ht="15" thickBot="1" x14ac:dyDescent="0.4">
      <c r="A13" s="8">
        <v>45297</v>
      </c>
      <c r="B13" s="8">
        <v>45459</v>
      </c>
      <c r="C13" s="9">
        <f t="shared" si="0"/>
        <v>5.4</v>
      </c>
    </row>
    <row r="14" spans="1:5" ht="15" thickBot="1" x14ac:dyDescent="0.4">
      <c r="A14" s="8">
        <v>45154</v>
      </c>
      <c r="B14" s="8">
        <v>45568</v>
      </c>
      <c r="C14" s="9">
        <f t="shared" si="0"/>
        <v>13.8</v>
      </c>
    </row>
    <row r="15" spans="1:5" ht="15" thickBot="1" x14ac:dyDescent="0.4">
      <c r="A15" s="8">
        <v>45556</v>
      </c>
      <c r="B15" s="8">
        <v>45641</v>
      </c>
      <c r="C15" s="9">
        <f t="shared" si="0"/>
        <v>2.8333333333333335</v>
      </c>
    </row>
    <row r="16" spans="1:5" ht="15" thickBot="1" x14ac:dyDescent="0.4">
      <c r="A16" s="8">
        <v>45065</v>
      </c>
      <c r="B16" s="8">
        <v>45242</v>
      </c>
      <c r="C16" s="9">
        <f t="shared" si="0"/>
        <v>5.9</v>
      </c>
    </row>
    <row r="17" spans="1:3" ht="15" thickBot="1" x14ac:dyDescent="0.4">
      <c r="A17" s="8">
        <v>45333</v>
      </c>
      <c r="B17" s="8">
        <v>45540</v>
      </c>
      <c r="C17" s="9">
        <f t="shared" si="0"/>
        <v>6.9</v>
      </c>
    </row>
    <row r="18" spans="1:3" ht="15" thickBot="1" x14ac:dyDescent="0.4">
      <c r="A18" s="8">
        <v>45702</v>
      </c>
      <c r="B18" s="8">
        <v>45732</v>
      </c>
      <c r="C18" s="9">
        <f t="shared" si="0"/>
        <v>1</v>
      </c>
    </row>
    <row r="19" spans="1:3" ht="15" thickBot="1" x14ac:dyDescent="0.4">
      <c r="A19" s="8">
        <v>45329</v>
      </c>
      <c r="B19" s="8">
        <v>45685</v>
      </c>
      <c r="C19" s="9">
        <f t="shared" si="0"/>
        <v>11.866666666666667</v>
      </c>
    </row>
    <row r="20" spans="1:3" ht="15" thickBot="1" x14ac:dyDescent="0.4">
      <c r="A20" s="8">
        <v>45213</v>
      </c>
      <c r="B20" s="8">
        <v>45649</v>
      </c>
      <c r="C20" s="9">
        <f t="shared" si="0"/>
        <v>14.533333333333333</v>
      </c>
    </row>
    <row r="21" spans="1:3" ht="15" thickBot="1" x14ac:dyDescent="0.4">
      <c r="A21" s="8">
        <v>45354</v>
      </c>
      <c r="B21" s="8">
        <v>45664</v>
      </c>
      <c r="C21" s="9">
        <f t="shared" si="0"/>
        <v>10.333333333333334</v>
      </c>
    </row>
    <row r="22" spans="1:3" ht="15" thickBot="1" x14ac:dyDescent="0.4">
      <c r="A22" s="8">
        <v>45417</v>
      </c>
      <c r="B22" s="8">
        <v>45608</v>
      </c>
      <c r="C22" s="9">
        <f t="shared" si="0"/>
        <v>6.3666666666666663</v>
      </c>
    </row>
    <row r="23" spans="1:3" ht="15" thickBot="1" x14ac:dyDescent="0.4">
      <c r="A23" s="8">
        <v>45146</v>
      </c>
      <c r="B23" s="8">
        <v>45674</v>
      </c>
      <c r="C23" s="9">
        <f t="shared" si="0"/>
        <v>17.600000000000001</v>
      </c>
    </row>
    <row r="24" spans="1:3" ht="15" thickBot="1" x14ac:dyDescent="0.4">
      <c r="A24" s="8">
        <v>45320</v>
      </c>
      <c r="B24" s="8">
        <v>45616</v>
      </c>
      <c r="C24" s="9">
        <f t="shared" si="0"/>
        <v>9.8666666666666671</v>
      </c>
    </row>
    <row r="25" spans="1:3" ht="15" thickBot="1" x14ac:dyDescent="0.4">
      <c r="A25" s="8">
        <v>45451</v>
      </c>
      <c r="B25" s="8">
        <v>45455</v>
      </c>
      <c r="C25" s="9">
        <f t="shared" si="0"/>
        <v>0.13333333333333333</v>
      </c>
    </row>
    <row r="26" spans="1:3" ht="15" thickBot="1" x14ac:dyDescent="0.4">
      <c r="A26" s="8">
        <v>45439</v>
      </c>
      <c r="B26" s="8">
        <v>45730</v>
      </c>
      <c r="C26" s="9">
        <f t="shared" si="0"/>
        <v>9.6999999999999993</v>
      </c>
    </row>
    <row r="27" spans="1:3" ht="15" thickBot="1" x14ac:dyDescent="0.4">
      <c r="A27" s="8">
        <v>45286</v>
      </c>
      <c r="B27" s="8">
        <v>45372</v>
      </c>
      <c r="C27" s="9">
        <f t="shared" si="0"/>
        <v>2.8666666666666667</v>
      </c>
    </row>
    <row r="28" spans="1:3" ht="15" thickBot="1" x14ac:dyDescent="0.4">
      <c r="A28" s="8">
        <v>45702</v>
      </c>
      <c r="B28" s="8">
        <v>45727</v>
      </c>
      <c r="C28" s="9">
        <f t="shared" si="0"/>
        <v>0.83333333333333337</v>
      </c>
    </row>
    <row r="29" spans="1:3" ht="15" thickBot="1" x14ac:dyDescent="0.4">
      <c r="A29" s="8">
        <v>45698</v>
      </c>
      <c r="B29" s="8">
        <v>45726</v>
      </c>
      <c r="C29" s="9">
        <f t="shared" si="0"/>
        <v>0.93333333333333335</v>
      </c>
    </row>
    <row r="30" spans="1:3" ht="15" thickBot="1" x14ac:dyDescent="0.4">
      <c r="A30" s="8">
        <v>45614</v>
      </c>
      <c r="B30" s="8">
        <v>45645</v>
      </c>
      <c r="C30" s="9">
        <f t="shared" si="0"/>
        <v>1.0333333333333334</v>
      </c>
    </row>
    <row r="31" spans="1:3" ht="15" thickBot="1" x14ac:dyDescent="0.4">
      <c r="A31" s="8">
        <v>45401</v>
      </c>
      <c r="B31" s="8">
        <v>45408</v>
      </c>
      <c r="C31" s="9">
        <f t="shared" si="0"/>
        <v>0.23333333333333334</v>
      </c>
    </row>
    <row r="32" spans="1:3" ht="15" thickBot="1" x14ac:dyDescent="0.4">
      <c r="A32" s="8">
        <v>45667</v>
      </c>
      <c r="B32" s="8">
        <v>45745</v>
      </c>
      <c r="C32" s="9">
        <f t="shared" si="0"/>
        <v>2.6</v>
      </c>
    </row>
    <row r="33" spans="1:3" ht="15" thickBot="1" x14ac:dyDescent="0.4">
      <c r="A33" s="8">
        <v>45088</v>
      </c>
      <c r="B33" s="8">
        <v>45656</v>
      </c>
      <c r="C33" s="9">
        <f t="shared" si="0"/>
        <v>18.933333333333334</v>
      </c>
    </row>
    <row r="34" spans="1:3" ht="15" thickBot="1" x14ac:dyDescent="0.4">
      <c r="A34" s="8">
        <v>45391</v>
      </c>
      <c r="B34" s="8">
        <v>45604</v>
      </c>
      <c r="C34" s="9">
        <f t="shared" si="0"/>
        <v>7.1</v>
      </c>
    </row>
    <row r="35" spans="1:3" ht="15" thickBot="1" x14ac:dyDescent="0.4">
      <c r="A35" s="8">
        <v>45699</v>
      </c>
      <c r="B35" s="8">
        <v>45740</v>
      </c>
      <c r="C35" s="9">
        <f t="shared" si="0"/>
        <v>1.3666666666666667</v>
      </c>
    </row>
    <row r="36" spans="1:3" ht="15" thickBot="1" x14ac:dyDescent="0.4">
      <c r="A36" s="8">
        <v>45588</v>
      </c>
      <c r="B36" s="8">
        <v>45721</v>
      </c>
      <c r="C36" s="9">
        <f t="shared" si="0"/>
        <v>4.4333333333333336</v>
      </c>
    </row>
    <row r="37" spans="1:3" ht="15" thickBot="1" x14ac:dyDescent="0.4">
      <c r="A37" s="8">
        <v>45312</v>
      </c>
      <c r="B37" s="8">
        <v>45652</v>
      </c>
      <c r="C37" s="9">
        <f t="shared" si="0"/>
        <v>11.333333333333334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72CC2-3CD8-4ADF-94B8-AB27A975A05E}">
  <dimension ref="A1:H36"/>
  <sheetViews>
    <sheetView topLeftCell="B1" workbookViewId="0">
      <selection activeCell="G11" sqref="G11"/>
    </sheetView>
  </sheetViews>
  <sheetFormatPr defaultRowHeight="14.5" x14ac:dyDescent="0.35"/>
  <cols>
    <col min="1" max="1" width="11.08984375" bestFit="1" customWidth="1"/>
    <col min="2" max="2" width="18" bestFit="1" customWidth="1"/>
    <col min="3" max="3" width="12.90625" bestFit="1" customWidth="1"/>
    <col min="4" max="4" width="15.7265625" bestFit="1" customWidth="1"/>
    <col min="6" max="6" width="8.7265625" customWidth="1"/>
    <col min="7" max="7" width="12.36328125" bestFit="1" customWidth="1"/>
    <col min="8" max="8" width="21.453125" bestFit="1" customWidth="1"/>
    <col min="9" max="9" width="12" bestFit="1" customWidth="1"/>
    <col min="10" max="10" width="13.90625" bestFit="1" customWidth="1"/>
    <col min="11" max="11" width="17.08984375" bestFit="1" customWidth="1"/>
    <col min="12" max="12" width="12" bestFit="1" customWidth="1"/>
    <col min="13" max="13" width="11.6328125" bestFit="1" customWidth="1"/>
    <col min="14" max="14" width="10.90625" bestFit="1" customWidth="1"/>
    <col min="15" max="15" width="9.453125" bestFit="1" customWidth="1"/>
    <col min="16" max="16" width="18.08984375" bestFit="1" customWidth="1"/>
    <col min="17" max="17" width="11.36328125" bestFit="1" customWidth="1"/>
    <col min="18" max="18" width="6.7265625" bestFit="1" customWidth="1"/>
    <col min="19" max="19" width="10.7265625" bestFit="1" customWidth="1"/>
  </cols>
  <sheetData>
    <row r="1" spans="1:8" ht="19" thickBot="1" x14ac:dyDescent="0.5">
      <c r="A1" s="13" t="s">
        <v>111</v>
      </c>
      <c r="B1" s="13" t="s">
        <v>110</v>
      </c>
      <c r="C1" s="13" t="s">
        <v>6</v>
      </c>
      <c r="D1" s="13" t="s">
        <v>112</v>
      </c>
      <c r="G1" s="20" t="s">
        <v>118</v>
      </c>
    </row>
    <row r="2" spans="1:8" ht="29.5" thickBot="1" x14ac:dyDescent="0.4">
      <c r="A2" s="5" t="s">
        <v>11</v>
      </c>
      <c r="B2" s="7" t="s">
        <v>15</v>
      </c>
      <c r="C2" s="6">
        <v>800</v>
      </c>
      <c r="D2" s="18" t="str" cm="1">
        <f t="array" ref="D2:D36">IF(B2:B36="","No","yes")</f>
        <v>yes</v>
      </c>
    </row>
    <row r="3" spans="1:8" ht="29.5" thickBot="1" x14ac:dyDescent="0.4">
      <c r="A3" s="5" t="s">
        <v>17</v>
      </c>
      <c r="B3" s="7" t="s">
        <v>19</v>
      </c>
      <c r="C3" s="6">
        <v>800</v>
      </c>
      <c r="D3" s="18" t="str">
        <v>yes</v>
      </c>
      <c r="G3" s="10" t="s">
        <v>113</v>
      </c>
      <c r="H3" t="s">
        <v>117</v>
      </c>
    </row>
    <row r="4" spans="1:8" ht="29.5" thickBot="1" x14ac:dyDescent="0.4">
      <c r="A4" s="5" t="s">
        <v>21</v>
      </c>
      <c r="B4" s="7" t="s">
        <v>24</v>
      </c>
      <c r="C4" s="6">
        <v>1200</v>
      </c>
      <c r="D4" s="18" t="str">
        <v>yes</v>
      </c>
      <c r="G4" s="11" t="s">
        <v>115</v>
      </c>
      <c r="H4">
        <v>1530</v>
      </c>
    </row>
    <row r="5" spans="1:8" ht="29.5" thickBot="1" x14ac:dyDescent="0.4">
      <c r="A5" s="5" t="s">
        <v>26</v>
      </c>
      <c r="B5" s="7" t="s">
        <v>28</v>
      </c>
      <c r="C5" s="6">
        <v>1200</v>
      </c>
      <c r="D5" s="18" t="str">
        <v>yes</v>
      </c>
      <c r="G5" s="11" t="s">
        <v>116</v>
      </c>
      <c r="H5">
        <v>1406.6666666666667</v>
      </c>
    </row>
    <row r="6" spans="1:8" ht="15" thickBot="1" x14ac:dyDescent="0.4">
      <c r="A6" s="5" t="s">
        <v>30</v>
      </c>
      <c r="B6" s="7" t="s">
        <v>32</v>
      </c>
      <c r="C6" s="6">
        <v>2500</v>
      </c>
      <c r="D6" s="18" t="str">
        <v>yes</v>
      </c>
      <c r="G6" s="11" t="s">
        <v>114</v>
      </c>
      <c r="H6">
        <v>1477.1428571428571</v>
      </c>
    </row>
    <row r="7" spans="1:8" ht="29.5" thickBot="1" x14ac:dyDescent="0.4">
      <c r="A7" s="5" t="s">
        <v>34</v>
      </c>
      <c r="B7" s="7" t="s">
        <v>36</v>
      </c>
      <c r="C7" s="6">
        <v>800</v>
      </c>
      <c r="D7" s="18" t="str">
        <v>yes</v>
      </c>
    </row>
    <row r="8" spans="1:8" ht="15" thickBot="1" x14ac:dyDescent="0.4">
      <c r="A8" s="5" t="s">
        <v>38</v>
      </c>
      <c r="B8" s="5"/>
      <c r="C8" s="6">
        <v>800</v>
      </c>
      <c r="D8" s="18" t="str">
        <v>No</v>
      </c>
    </row>
    <row r="9" spans="1:8" ht="29.5" thickBot="1" x14ac:dyDescent="0.4">
      <c r="A9" s="5" t="s">
        <v>40</v>
      </c>
      <c r="B9" s="5"/>
      <c r="C9" s="6">
        <v>1800</v>
      </c>
      <c r="D9" s="18" t="str">
        <v>No</v>
      </c>
      <c r="G9" s="11" t="s">
        <v>146</v>
      </c>
    </row>
    <row r="10" spans="1:8" ht="15" thickBot="1" x14ac:dyDescent="0.4">
      <c r="A10" s="5" t="s">
        <v>44</v>
      </c>
      <c r="B10" s="7" t="s">
        <v>45</v>
      </c>
      <c r="C10" s="6">
        <v>800</v>
      </c>
      <c r="D10" s="18" t="str">
        <v>yes</v>
      </c>
      <c r="G10" s="11" t="s">
        <v>147</v>
      </c>
    </row>
    <row r="11" spans="1:8" ht="29.5" thickBot="1" x14ac:dyDescent="0.4">
      <c r="A11" s="5" t="s">
        <v>47</v>
      </c>
      <c r="B11" s="7" t="s">
        <v>48</v>
      </c>
      <c r="C11" s="6">
        <v>1200</v>
      </c>
      <c r="D11" s="18" t="str">
        <v>yes</v>
      </c>
    </row>
    <row r="12" spans="1:8" ht="29.5" thickBot="1" x14ac:dyDescent="0.4">
      <c r="A12" s="5" t="s">
        <v>50</v>
      </c>
      <c r="B12" s="7" t="s">
        <v>51</v>
      </c>
      <c r="C12" s="6">
        <v>1200</v>
      </c>
      <c r="D12" s="18" t="str">
        <v>yes</v>
      </c>
    </row>
    <row r="13" spans="1:8" ht="15" thickBot="1" x14ac:dyDescent="0.4">
      <c r="A13" s="5" t="s">
        <v>53</v>
      </c>
      <c r="B13" s="7" t="s">
        <v>54</v>
      </c>
      <c r="C13" s="6">
        <v>1200</v>
      </c>
      <c r="D13" s="18" t="str">
        <v>yes</v>
      </c>
    </row>
    <row r="14" spans="1:8" ht="29.5" thickBot="1" x14ac:dyDescent="0.4">
      <c r="A14" s="5" t="s">
        <v>56</v>
      </c>
      <c r="B14" s="5"/>
      <c r="C14" s="6">
        <v>1800</v>
      </c>
      <c r="D14" s="18" t="str">
        <v>No</v>
      </c>
    </row>
    <row r="15" spans="1:8" ht="15" thickBot="1" x14ac:dyDescent="0.4">
      <c r="A15" s="5" t="s">
        <v>58</v>
      </c>
      <c r="B15" s="5"/>
      <c r="C15" s="6">
        <v>1200</v>
      </c>
      <c r="D15" s="18" t="str">
        <v>No</v>
      </c>
    </row>
    <row r="16" spans="1:8" ht="15" thickBot="1" x14ac:dyDescent="0.4">
      <c r="A16" s="5" t="s">
        <v>60</v>
      </c>
      <c r="B16" s="5"/>
      <c r="C16" s="6">
        <v>800</v>
      </c>
      <c r="D16" s="18" t="str">
        <v>No</v>
      </c>
    </row>
    <row r="17" spans="1:4" ht="29.5" thickBot="1" x14ac:dyDescent="0.4">
      <c r="A17" s="5" t="s">
        <v>62</v>
      </c>
      <c r="B17" s="5"/>
      <c r="C17" s="6">
        <v>2500</v>
      </c>
      <c r="D17" s="18" t="str">
        <v>No</v>
      </c>
    </row>
    <row r="18" spans="1:4" ht="15" thickBot="1" x14ac:dyDescent="0.4">
      <c r="A18" s="5" t="s">
        <v>64</v>
      </c>
      <c r="B18" s="5"/>
      <c r="C18" s="6">
        <v>1200</v>
      </c>
      <c r="D18" s="18" t="str">
        <v>No</v>
      </c>
    </row>
    <row r="19" spans="1:4" ht="29.5" thickBot="1" x14ac:dyDescent="0.4">
      <c r="A19" s="5" t="s">
        <v>66</v>
      </c>
      <c r="B19" s="5"/>
      <c r="C19" s="6">
        <v>2500</v>
      </c>
      <c r="D19" s="18" t="str">
        <v>No</v>
      </c>
    </row>
    <row r="20" spans="1:4" ht="15" thickBot="1" x14ac:dyDescent="0.4">
      <c r="A20" s="5" t="s">
        <v>69</v>
      </c>
      <c r="B20" s="5"/>
      <c r="C20" s="6">
        <v>800</v>
      </c>
      <c r="D20" s="18" t="str">
        <v>No</v>
      </c>
    </row>
    <row r="21" spans="1:4" ht="29.5" thickBot="1" x14ac:dyDescent="0.4">
      <c r="A21" s="5" t="s">
        <v>71</v>
      </c>
      <c r="B21" s="7" t="s">
        <v>72</v>
      </c>
      <c r="C21" s="6">
        <v>2500</v>
      </c>
      <c r="D21" s="18" t="str">
        <v>yes</v>
      </c>
    </row>
    <row r="22" spans="1:4" ht="29.5" thickBot="1" x14ac:dyDescent="0.4">
      <c r="A22" s="5" t="s">
        <v>74</v>
      </c>
      <c r="B22" s="5"/>
      <c r="C22" s="6">
        <v>1800</v>
      </c>
      <c r="D22" s="18" t="str">
        <v>No</v>
      </c>
    </row>
    <row r="23" spans="1:4" ht="29.5" thickBot="1" x14ac:dyDescent="0.4">
      <c r="A23" s="5" t="s">
        <v>76</v>
      </c>
      <c r="B23" s="5"/>
      <c r="C23" s="6">
        <v>1800</v>
      </c>
      <c r="D23" s="18" t="str">
        <v>No</v>
      </c>
    </row>
    <row r="24" spans="1:4" ht="15" thickBot="1" x14ac:dyDescent="0.4">
      <c r="A24" s="5" t="s">
        <v>78</v>
      </c>
      <c r="B24" s="5"/>
      <c r="C24" s="6">
        <v>1800</v>
      </c>
      <c r="D24" s="18" t="str">
        <v>No</v>
      </c>
    </row>
    <row r="25" spans="1:4" ht="15" thickBot="1" x14ac:dyDescent="0.4">
      <c r="A25" s="5" t="s">
        <v>80</v>
      </c>
      <c r="B25" s="5"/>
      <c r="C25" s="6">
        <v>1200</v>
      </c>
      <c r="D25" s="18" t="str">
        <v>No</v>
      </c>
    </row>
    <row r="26" spans="1:4" ht="15" thickBot="1" x14ac:dyDescent="0.4">
      <c r="A26" s="5" t="s">
        <v>82</v>
      </c>
      <c r="B26" s="7" t="s">
        <v>83</v>
      </c>
      <c r="C26" s="6">
        <v>1800</v>
      </c>
      <c r="D26" s="18" t="str">
        <v>yes</v>
      </c>
    </row>
    <row r="27" spans="1:4" ht="15" thickBot="1" x14ac:dyDescent="0.4">
      <c r="A27" s="5" t="s">
        <v>85</v>
      </c>
      <c r="B27" s="5"/>
      <c r="C27" s="6">
        <v>1200</v>
      </c>
      <c r="D27" s="18" t="str">
        <v>No</v>
      </c>
    </row>
    <row r="28" spans="1:4" ht="29.5" thickBot="1" x14ac:dyDescent="0.4">
      <c r="A28" s="5" t="s">
        <v>87</v>
      </c>
      <c r="B28" s="5"/>
      <c r="C28" s="6">
        <v>2500</v>
      </c>
      <c r="D28" s="18" t="str">
        <v>No</v>
      </c>
    </row>
    <row r="29" spans="1:4" ht="29.5" thickBot="1" x14ac:dyDescent="0.4">
      <c r="A29" s="5" t="s">
        <v>89</v>
      </c>
      <c r="B29" s="5"/>
      <c r="C29" s="6">
        <v>1200</v>
      </c>
      <c r="D29" s="18" t="str">
        <v>No</v>
      </c>
    </row>
    <row r="30" spans="1:4" ht="29.5" thickBot="1" x14ac:dyDescent="0.4">
      <c r="A30" s="5" t="s">
        <v>91</v>
      </c>
      <c r="B30" s="5"/>
      <c r="C30" s="6">
        <v>2500</v>
      </c>
      <c r="D30" s="18" t="str">
        <v>No</v>
      </c>
    </row>
    <row r="31" spans="1:4" ht="15" thickBot="1" x14ac:dyDescent="0.4">
      <c r="A31" s="5" t="s">
        <v>93</v>
      </c>
      <c r="B31" s="7" t="s">
        <v>94</v>
      </c>
      <c r="C31" s="6">
        <v>2500</v>
      </c>
      <c r="D31" s="18" t="str">
        <v>yes</v>
      </c>
    </row>
    <row r="32" spans="1:4" ht="15" thickBot="1" x14ac:dyDescent="0.4">
      <c r="A32" s="5" t="s">
        <v>96</v>
      </c>
      <c r="B32" s="7" t="s">
        <v>97</v>
      </c>
      <c r="C32" s="6">
        <v>800</v>
      </c>
      <c r="D32" s="18" t="str">
        <v>yes</v>
      </c>
    </row>
    <row r="33" spans="1:4" ht="15" thickBot="1" x14ac:dyDescent="0.4">
      <c r="A33" s="5" t="s">
        <v>99</v>
      </c>
      <c r="B33" s="5"/>
      <c r="C33" s="6">
        <v>1200</v>
      </c>
      <c r="D33" s="18" t="str">
        <v>No</v>
      </c>
    </row>
    <row r="34" spans="1:4" ht="15" thickBot="1" x14ac:dyDescent="0.4">
      <c r="A34" s="5" t="s">
        <v>101</v>
      </c>
      <c r="B34" s="5"/>
      <c r="C34" s="6">
        <v>800</v>
      </c>
      <c r="D34" s="18" t="str">
        <v>No</v>
      </c>
    </row>
    <row r="35" spans="1:4" ht="29.5" thickBot="1" x14ac:dyDescent="0.4">
      <c r="A35" s="5" t="s">
        <v>103</v>
      </c>
      <c r="B35" s="7" t="s">
        <v>104</v>
      </c>
      <c r="C35" s="6">
        <v>1800</v>
      </c>
      <c r="D35" s="18" t="str">
        <v>yes</v>
      </c>
    </row>
    <row r="36" spans="1:4" ht="29.5" thickBot="1" x14ac:dyDescent="0.4">
      <c r="A36" s="5" t="s">
        <v>106</v>
      </c>
      <c r="B36" s="5"/>
      <c r="C36" s="6">
        <v>1200</v>
      </c>
      <c r="D36" s="18" t="str">
        <v>No</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1A9B8-9A39-4580-8A9D-1E2D4F130AEE}">
  <dimension ref="A1:M36"/>
  <sheetViews>
    <sheetView topLeftCell="B1" zoomScale="96" zoomScaleNormal="96" workbookViewId="0">
      <selection activeCell="AA1" sqref="AA1"/>
    </sheetView>
  </sheetViews>
  <sheetFormatPr defaultRowHeight="14.5" x14ac:dyDescent="0.35"/>
  <cols>
    <col min="1" max="1" width="13.7265625" bestFit="1" customWidth="1"/>
    <col min="2" max="2" width="10.08984375" bestFit="1" customWidth="1"/>
    <col min="3" max="3" width="14.08984375" bestFit="1" customWidth="1"/>
    <col min="4" max="4" width="13.54296875" bestFit="1" customWidth="1"/>
    <col min="5" max="5" width="14.08984375" customWidth="1"/>
    <col min="6" max="6" width="27.54296875" bestFit="1" customWidth="1"/>
    <col min="7" max="7" width="12.90625" bestFit="1" customWidth="1"/>
    <col min="10" max="10" width="12.36328125" bestFit="1" customWidth="1"/>
    <col min="11" max="11" width="19.36328125" bestFit="1" customWidth="1"/>
  </cols>
  <sheetData>
    <row r="1" spans="1:13" ht="29.5" thickBot="1" x14ac:dyDescent="0.4">
      <c r="A1" s="21" t="s">
        <v>6</v>
      </c>
      <c r="B1" s="22" t="s">
        <v>4</v>
      </c>
      <c r="C1" s="23" t="s">
        <v>107</v>
      </c>
      <c r="D1" s="21" t="s">
        <v>3</v>
      </c>
      <c r="E1" s="21" t="s">
        <v>8</v>
      </c>
      <c r="F1" s="24" t="s">
        <v>119</v>
      </c>
      <c r="G1" s="24" t="s">
        <v>120</v>
      </c>
      <c r="J1" s="25" t="s">
        <v>122</v>
      </c>
      <c r="K1" s="26"/>
    </row>
    <row r="2" spans="1:13" ht="15" thickBot="1" x14ac:dyDescent="0.4">
      <c r="A2" s="15">
        <v>800</v>
      </c>
      <c r="B2" s="14">
        <v>45235</v>
      </c>
      <c r="C2" s="14">
        <v>45425</v>
      </c>
      <c r="D2" s="5" t="s">
        <v>13</v>
      </c>
      <c r="E2" s="5" t="s">
        <v>14</v>
      </c>
      <c r="F2" s="9">
        <f>(C2-B2)/30</f>
        <v>6.333333333333333</v>
      </c>
      <c r="G2">
        <f>A2*F2</f>
        <v>5066.6666666666661</v>
      </c>
      <c r="J2" s="10" t="s">
        <v>113</v>
      </c>
      <c r="K2" t="s">
        <v>121</v>
      </c>
      <c r="M2" t="s">
        <v>148</v>
      </c>
    </row>
    <row r="3" spans="1:13" ht="15" thickBot="1" x14ac:dyDescent="0.4">
      <c r="A3" s="15">
        <v>800</v>
      </c>
      <c r="B3" s="14">
        <v>45714</v>
      </c>
      <c r="C3" s="14">
        <v>45740</v>
      </c>
      <c r="D3" s="5" t="s">
        <v>13</v>
      </c>
      <c r="E3" s="5" t="s">
        <v>18</v>
      </c>
      <c r="F3" s="9">
        <f>(C3-B3)/30</f>
        <v>0.8666666666666667</v>
      </c>
      <c r="G3">
        <f>A3*F3</f>
        <v>693.33333333333337</v>
      </c>
      <c r="J3" s="11" t="s">
        <v>13</v>
      </c>
      <c r="K3">
        <v>40506.666666666664</v>
      </c>
    </row>
    <row r="4" spans="1:13" ht="15" thickBot="1" x14ac:dyDescent="0.4">
      <c r="A4" s="15">
        <v>1200</v>
      </c>
      <c r="B4" s="14">
        <v>45191</v>
      </c>
      <c r="C4" s="14">
        <v>45371</v>
      </c>
      <c r="D4" s="5" t="s">
        <v>22</v>
      </c>
      <c r="E4" s="5" t="s">
        <v>23</v>
      </c>
      <c r="F4" s="9">
        <f t="shared" ref="F4:F36" si="0">(C4-B4)/30</f>
        <v>6</v>
      </c>
      <c r="G4">
        <f t="shared" ref="G4:G36" si="1">A4*F4</f>
        <v>7200</v>
      </c>
      <c r="J4" s="11" t="s">
        <v>31</v>
      </c>
      <c r="K4">
        <v>82083.333333333328</v>
      </c>
    </row>
    <row r="5" spans="1:13" ht="15" thickBot="1" x14ac:dyDescent="0.4">
      <c r="A5" s="15">
        <v>1200</v>
      </c>
      <c r="B5" s="14">
        <v>45479</v>
      </c>
      <c r="C5" s="14">
        <v>45587</v>
      </c>
      <c r="D5" s="5" t="s">
        <v>22</v>
      </c>
      <c r="E5" s="5" t="s">
        <v>23</v>
      </c>
      <c r="F5" s="9">
        <f t="shared" si="0"/>
        <v>3.6</v>
      </c>
      <c r="G5">
        <f t="shared" si="1"/>
        <v>4320</v>
      </c>
      <c r="J5" s="11" t="s">
        <v>41</v>
      </c>
      <c r="K5">
        <v>74700</v>
      </c>
    </row>
    <row r="6" spans="1:13" ht="15" thickBot="1" x14ac:dyDescent="0.4">
      <c r="A6" s="15">
        <v>2500</v>
      </c>
      <c r="B6" s="14">
        <v>45286</v>
      </c>
      <c r="C6" s="14">
        <v>45501</v>
      </c>
      <c r="D6" s="5" t="s">
        <v>31</v>
      </c>
      <c r="E6" s="5" t="s">
        <v>14</v>
      </c>
      <c r="F6" s="9">
        <f t="shared" si="0"/>
        <v>7.166666666666667</v>
      </c>
      <c r="G6">
        <f t="shared" si="1"/>
        <v>17916.666666666668</v>
      </c>
      <c r="J6" s="11" t="s">
        <v>22</v>
      </c>
      <c r="K6">
        <v>95000</v>
      </c>
    </row>
    <row r="7" spans="1:13" ht="15" thickBot="1" x14ac:dyDescent="0.4">
      <c r="A7" s="15">
        <v>800</v>
      </c>
      <c r="B7" s="14">
        <v>45317</v>
      </c>
      <c r="C7" s="14">
        <v>45392</v>
      </c>
      <c r="D7" s="5" t="s">
        <v>13</v>
      </c>
      <c r="E7" s="5" t="s">
        <v>35</v>
      </c>
      <c r="F7" s="9">
        <f t="shared" si="0"/>
        <v>2.5</v>
      </c>
      <c r="G7">
        <f t="shared" si="1"/>
        <v>2000</v>
      </c>
      <c r="J7" s="11" t="s">
        <v>114</v>
      </c>
      <c r="K7">
        <v>292290</v>
      </c>
    </row>
    <row r="8" spans="1:13" ht="15" thickBot="1" x14ac:dyDescent="0.4">
      <c r="A8" s="15">
        <v>800</v>
      </c>
      <c r="B8" s="14">
        <v>45588</v>
      </c>
      <c r="C8" s="14">
        <v>45677</v>
      </c>
      <c r="D8" s="5" t="s">
        <v>13</v>
      </c>
      <c r="E8" s="5" t="s">
        <v>18</v>
      </c>
      <c r="F8" s="9">
        <f t="shared" si="0"/>
        <v>2.9666666666666668</v>
      </c>
      <c r="G8">
        <f t="shared" si="1"/>
        <v>2373.3333333333335</v>
      </c>
      <c r="J8" s="16"/>
      <c r="K8" s="16"/>
    </row>
    <row r="9" spans="1:13" ht="15" thickBot="1" x14ac:dyDescent="0.4">
      <c r="A9" s="15">
        <v>1800</v>
      </c>
      <c r="B9" s="14">
        <v>45450</v>
      </c>
      <c r="C9" s="14">
        <v>45563</v>
      </c>
      <c r="D9" s="5" t="s">
        <v>41</v>
      </c>
      <c r="E9" s="5" t="s">
        <v>42</v>
      </c>
      <c r="F9" s="9">
        <f t="shared" si="0"/>
        <v>3.7666666666666666</v>
      </c>
      <c r="G9">
        <f t="shared" si="1"/>
        <v>6780</v>
      </c>
      <c r="J9" s="17" t="s">
        <v>123</v>
      </c>
      <c r="K9" s="16"/>
    </row>
    <row r="10" spans="1:13" ht="15" thickBot="1" x14ac:dyDescent="0.4">
      <c r="A10" s="15">
        <v>800</v>
      </c>
      <c r="B10" s="14">
        <v>45569</v>
      </c>
      <c r="C10" s="14">
        <v>45582</v>
      </c>
      <c r="D10" s="5" t="s">
        <v>13</v>
      </c>
      <c r="E10" s="5" t="s">
        <v>42</v>
      </c>
      <c r="F10" s="9">
        <f t="shared" si="0"/>
        <v>0.43333333333333335</v>
      </c>
      <c r="G10">
        <f t="shared" si="1"/>
        <v>346.66666666666669</v>
      </c>
      <c r="J10" s="10" t="s">
        <v>113</v>
      </c>
      <c r="K10" t="s">
        <v>121</v>
      </c>
    </row>
    <row r="11" spans="1:13" ht="15" thickBot="1" x14ac:dyDescent="0.4">
      <c r="A11" s="15">
        <v>1200</v>
      </c>
      <c r="B11" s="14">
        <v>45202</v>
      </c>
      <c r="C11" s="14">
        <v>45280</v>
      </c>
      <c r="D11" s="5" t="s">
        <v>22</v>
      </c>
      <c r="E11" s="5" t="s">
        <v>35</v>
      </c>
      <c r="F11" s="9">
        <f t="shared" si="0"/>
        <v>2.6</v>
      </c>
      <c r="G11">
        <f t="shared" si="1"/>
        <v>3120</v>
      </c>
      <c r="J11" s="11" t="s">
        <v>14</v>
      </c>
      <c r="K11">
        <v>58863.333333333336</v>
      </c>
    </row>
    <row r="12" spans="1:13" ht="15" thickBot="1" x14ac:dyDescent="0.4">
      <c r="A12" s="15">
        <v>1200</v>
      </c>
      <c r="B12" s="14">
        <v>45297</v>
      </c>
      <c r="C12" s="14">
        <v>45459</v>
      </c>
      <c r="D12" s="5" t="s">
        <v>22</v>
      </c>
      <c r="E12" s="5" t="s">
        <v>14</v>
      </c>
      <c r="F12" s="9">
        <f t="shared" si="0"/>
        <v>5.4</v>
      </c>
      <c r="G12">
        <f t="shared" si="1"/>
        <v>6480</v>
      </c>
      <c r="J12" s="11" t="s">
        <v>67</v>
      </c>
      <c r="K12">
        <v>52720</v>
      </c>
    </row>
    <row r="13" spans="1:13" ht="15" thickBot="1" x14ac:dyDescent="0.4">
      <c r="A13" s="15">
        <v>1200</v>
      </c>
      <c r="B13" s="14">
        <v>45154</v>
      </c>
      <c r="C13" s="14">
        <v>45568</v>
      </c>
      <c r="D13" s="5" t="s">
        <v>22</v>
      </c>
      <c r="E13" s="5" t="s">
        <v>42</v>
      </c>
      <c r="F13" s="9">
        <f t="shared" si="0"/>
        <v>13.8</v>
      </c>
      <c r="G13">
        <f t="shared" si="1"/>
        <v>16560</v>
      </c>
      <c r="J13" s="11" t="s">
        <v>23</v>
      </c>
      <c r="K13">
        <v>31863.333333333332</v>
      </c>
    </row>
    <row r="14" spans="1:13" ht="15" thickBot="1" x14ac:dyDescent="0.4">
      <c r="A14" s="15">
        <v>1800</v>
      </c>
      <c r="B14" s="14">
        <v>45556</v>
      </c>
      <c r="C14" s="14">
        <v>45641</v>
      </c>
      <c r="D14" s="5" t="s">
        <v>41</v>
      </c>
      <c r="E14" s="5" t="s">
        <v>42</v>
      </c>
      <c r="F14" s="9">
        <f t="shared" si="0"/>
        <v>2.8333333333333335</v>
      </c>
      <c r="G14">
        <f t="shared" si="1"/>
        <v>5100</v>
      </c>
      <c r="J14" s="11" t="s">
        <v>42</v>
      </c>
      <c r="K14">
        <v>37786.666666666672</v>
      </c>
    </row>
    <row r="15" spans="1:13" ht="15" thickBot="1" x14ac:dyDescent="0.4">
      <c r="A15" s="15">
        <v>1200</v>
      </c>
      <c r="B15" s="14">
        <v>45065</v>
      </c>
      <c r="C15" s="14">
        <v>45242</v>
      </c>
      <c r="D15" s="5" t="s">
        <v>22</v>
      </c>
      <c r="E15" s="5" t="s">
        <v>35</v>
      </c>
      <c r="F15" s="9">
        <f t="shared" si="0"/>
        <v>5.9</v>
      </c>
      <c r="G15">
        <f t="shared" si="1"/>
        <v>7080</v>
      </c>
      <c r="J15" s="11" t="s">
        <v>35</v>
      </c>
      <c r="K15">
        <v>85170</v>
      </c>
    </row>
    <row r="16" spans="1:13" ht="15" thickBot="1" x14ac:dyDescent="0.4">
      <c r="A16" s="15">
        <v>800</v>
      </c>
      <c r="B16" s="14">
        <v>45333</v>
      </c>
      <c r="C16" s="14">
        <v>45540</v>
      </c>
      <c r="D16" s="5" t="s">
        <v>13</v>
      </c>
      <c r="E16" s="7" t="s">
        <v>23</v>
      </c>
      <c r="F16" s="9">
        <f t="shared" si="0"/>
        <v>6.9</v>
      </c>
      <c r="G16">
        <f t="shared" si="1"/>
        <v>5520</v>
      </c>
      <c r="J16" s="11" t="s">
        <v>18</v>
      </c>
      <c r="K16">
        <v>25886.666666666668</v>
      </c>
    </row>
    <row r="17" spans="1:11" ht="15" thickBot="1" x14ac:dyDescent="0.4">
      <c r="A17" s="15">
        <v>2500</v>
      </c>
      <c r="B17" s="14">
        <v>45702</v>
      </c>
      <c r="C17" s="14">
        <v>45732</v>
      </c>
      <c r="D17" s="5" t="s">
        <v>31</v>
      </c>
      <c r="E17" s="5" t="s">
        <v>42</v>
      </c>
      <c r="F17" s="9">
        <f t="shared" si="0"/>
        <v>1</v>
      </c>
      <c r="G17">
        <f t="shared" si="1"/>
        <v>2500</v>
      </c>
      <c r="J17" s="11" t="s">
        <v>114</v>
      </c>
      <c r="K17">
        <v>292290.00000000006</v>
      </c>
    </row>
    <row r="18" spans="1:11" ht="15" thickBot="1" x14ac:dyDescent="0.4">
      <c r="A18" s="15">
        <v>1200</v>
      </c>
      <c r="B18" s="14">
        <v>45329</v>
      </c>
      <c r="C18" s="14">
        <v>45685</v>
      </c>
      <c r="D18" s="5" t="s">
        <v>22</v>
      </c>
      <c r="E18" s="7" t="s">
        <v>23</v>
      </c>
      <c r="F18" s="9">
        <f t="shared" si="0"/>
        <v>11.866666666666667</v>
      </c>
      <c r="G18">
        <f t="shared" si="1"/>
        <v>14240</v>
      </c>
    </row>
    <row r="19" spans="1:11" ht="15" thickBot="1" x14ac:dyDescent="0.4">
      <c r="A19" s="15">
        <v>2500</v>
      </c>
      <c r="B19" s="14">
        <v>45213</v>
      </c>
      <c r="C19" s="14">
        <v>45649</v>
      </c>
      <c r="D19" s="5" t="s">
        <v>31</v>
      </c>
      <c r="E19" s="5" t="s">
        <v>67</v>
      </c>
      <c r="F19" s="9">
        <f t="shared" si="0"/>
        <v>14.533333333333333</v>
      </c>
      <c r="G19">
        <f t="shared" si="1"/>
        <v>36333.333333333336</v>
      </c>
    </row>
    <row r="20" spans="1:11" ht="15" thickBot="1" x14ac:dyDescent="0.4">
      <c r="A20" s="15">
        <v>800</v>
      </c>
      <c r="B20" s="14">
        <v>45354</v>
      </c>
      <c r="C20" s="14">
        <v>45664</v>
      </c>
      <c r="D20" s="5" t="s">
        <v>13</v>
      </c>
      <c r="E20" s="5" t="s">
        <v>35</v>
      </c>
      <c r="F20" s="9">
        <f t="shared" si="0"/>
        <v>10.333333333333334</v>
      </c>
      <c r="G20">
        <f t="shared" si="1"/>
        <v>8266.6666666666679</v>
      </c>
    </row>
    <row r="21" spans="1:11" ht="15" thickBot="1" x14ac:dyDescent="0.4">
      <c r="A21" s="15">
        <v>2500</v>
      </c>
      <c r="B21" s="14">
        <v>45417</v>
      </c>
      <c r="C21" s="14">
        <v>45608</v>
      </c>
      <c r="D21" s="5" t="s">
        <v>31</v>
      </c>
      <c r="E21" s="5" t="s">
        <v>35</v>
      </c>
      <c r="F21" s="9">
        <f t="shared" si="0"/>
        <v>6.3666666666666663</v>
      </c>
      <c r="G21">
        <f t="shared" si="1"/>
        <v>15916.666666666666</v>
      </c>
    </row>
    <row r="22" spans="1:11" ht="15" thickBot="1" x14ac:dyDescent="0.4">
      <c r="A22" s="15">
        <v>1800</v>
      </c>
      <c r="B22" s="14">
        <v>45146</v>
      </c>
      <c r="C22" s="14">
        <v>45674</v>
      </c>
      <c r="D22" s="5" t="s">
        <v>41</v>
      </c>
      <c r="E22" s="5" t="s">
        <v>35</v>
      </c>
      <c r="F22" s="9">
        <f t="shared" si="0"/>
        <v>17.600000000000001</v>
      </c>
      <c r="G22">
        <f t="shared" si="1"/>
        <v>31680.000000000004</v>
      </c>
    </row>
    <row r="23" spans="1:11" ht="15" thickBot="1" x14ac:dyDescent="0.4">
      <c r="A23" s="15">
        <v>1800</v>
      </c>
      <c r="B23" s="14">
        <v>45320</v>
      </c>
      <c r="C23" s="14">
        <v>45616</v>
      </c>
      <c r="D23" s="5" t="s">
        <v>41</v>
      </c>
      <c r="E23" s="7" t="s">
        <v>14</v>
      </c>
      <c r="F23" s="9">
        <f t="shared" si="0"/>
        <v>9.8666666666666671</v>
      </c>
      <c r="G23">
        <f t="shared" si="1"/>
        <v>17760</v>
      </c>
    </row>
    <row r="24" spans="1:11" ht="15" thickBot="1" x14ac:dyDescent="0.4">
      <c r="A24" s="15">
        <v>1800</v>
      </c>
      <c r="B24" s="14">
        <v>45451</v>
      </c>
      <c r="C24" s="14">
        <v>45455</v>
      </c>
      <c r="D24" s="5" t="s">
        <v>41</v>
      </c>
      <c r="E24" s="5" t="s">
        <v>67</v>
      </c>
      <c r="F24" s="9">
        <f t="shared" si="0"/>
        <v>0.13333333333333333</v>
      </c>
      <c r="G24">
        <f t="shared" si="1"/>
        <v>240</v>
      </c>
    </row>
    <row r="25" spans="1:11" ht="15" thickBot="1" x14ac:dyDescent="0.4">
      <c r="A25" s="15">
        <v>1200</v>
      </c>
      <c r="B25" s="14">
        <v>45439</v>
      </c>
      <c r="C25" s="14">
        <v>45730</v>
      </c>
      <c r="D25" s="5" t="s">
        <v>22</v>
      </c>
      <c r="E25" s="7" t="s">
        <v>14</v>
      </c>
      <c r="F25" s="9">
        <f t="shared" si="0"/>
        <v>9.6999999999999993</v>
      </c>
      <c r="G25">
        <f t="shared" si="1"/>
        <v>11640</v>
      </c>
    </row>
    <row r="26" spans="1:11" ht="15" thickBot="1" x14ac:dyDescent="0.4">
      <c r="A26" s="15">
        <v>1800</v>
      </c>
      <c r="B26" s="14">
        <v>45286</v>
      </c>
      <c r="C26" s="14">
        <v>45372</v>
      </c>
      <c r="D26" s="5" t="s">
        <v>41</v>
      </c>
      <c r="E26" s="5" t="s">
        <v>35</v>
      </c>
      <c r="F26" s="9">
        <f t="shared" si="0"/>
        <v>2.8666666666666667</v>
      </c>
      <c r="G26">
        <f t="shared" si="1"/>
        <v>5160</v>
      </c>
    </row>
    <row r="27" spans="1:11" ht="15" thickBot="1" x14ac:dyDescent="0.4">
      <c r="A27" s="15">
        <v>1200</v>
      </c>
      <c r="B27" s="14">
        <v>45702</v>
      </c>
      <c r="C27" s="14">
        <v>45727</v>
      </c>
      <c r="D27" s="5" t="s">
        <v>22</v>
      </c>
      <c r="E27" s="5" t="s">
        <v>67</v>
      </c>
      <c r="F27" s="9">
        <f t="shared" si="0"/>
        <v>0.83333333333333337</v>
      </c>
      <c r="G27">
        <f t="shared" si="1"/>
        <v>1000</v>
      </c>
    </row>
    <row r="28" spans="1:11" ht="15" thickBot="1" x14ac:dyDescent="0.4">
      <c r="A28" s="15">
        <v>2500</v>
      </c>
      <c r="B28" s="14">
        <v>45698</v>
      </c>
      <c r="C28" s="14">
        <v>45726</v>
      </c>
      <c r="D28" s="5" t="s">
        <v>31</v>
      </c>
      <c r="E28" s="5" t="s">
        <v>35</v>
      </c>
      <c r="F28" s="9">
        <f t="shared" si="0"/>
        <v>0.93333333333333335</v>
      </c>
      <c r="G28">
        <f t="shared" si="1"/>
        <v>2333.3333333333335</v>
      </c>
    </row>
    <row r="29" spans="1:11" ht="15" thickBot="1" x14ac:dyDescent="0.4">
      <c r="A29" s="15">
        <v>1200</v>
      </c>
      <c r="B29" s="14">
        <v>45614</v>
      </c>
      <c r="C29" s="14">
        <v>45645</v>
      </c>
      <c r="D29" s="5" t="s">
        <v>22</v>
      </c>
      <c r="E29" s="5" t="s">
        <v>18</v>
      </c>
      <c r="F29" s="9">
        <f t="shared" si="0"/>
        <v>1.0333333333333334</v>
      </c>
      <c r="G29">
        <f t="shared" si="1"/>
        <v>1240.0000000000002</v>
      </c>
    </row>
    <row r="30" spans="1:11" ht="15" thickBot="1" x14ac:dyDescent="0.4">
      <c r="A30" s="15">
        <v>2500</v>
      </c>
      <c r="B30" s="14">
        <v>45401</v>
      </c>
      <c r="C30" s="14">
        <v>45408</v>
      </c>
      <c r="D30" s="5" t="s">
        <v>31</v>
      </c>
      <c r="E30" s="7" t="s">
        <v>23</v>
      </c>
      <c r="F30" s="9">
        <f t="shared" si="0"/>
        <v>0.23333333333333334</v>
      </c>
      <c r="G30">
        <f t="shared" si="1"/>
        <v>583.33333333333337</v>
      </c>
    </row>
    <row r="31" spans="1:11" ht="15" thickBot="1" x14ac:dyDescent="0.4">
      <c r="A31" s="15">
        <v>2500</v>
      </c>
      <c r="B31" s="14">
        <v>45667</v>
      </c>
      <c r="C31" s="14">
        <v>45745</v>
      </c>
      <c r="D31" s="5" t="s">
        <v>31</v>
      </c>
      <c r="E31" s="5" t="s">
        <v>42</v>
      </c>
      <c r="F31" s="9">
        <f t="shared" si="0"/>
        <v>2.6</v>
      </c>
      <c r="G31">
        <f t="shared" si="1"/>
        <v>6500</v>
      </c>
    </row>
    <row r="32" spans="1:11" ht="15" thickBot="1" x14ac:dyDescent="0.4">
      <c r="A32" s="15">
        <v>800</v>
      </c>
      <c r="B32" s="14">
        <v>45088</v>
      </c>
      <c r="C32" s="14">
        <v>45656</v>
      </c>
      <c r="D32" s="5" t="s">
        <v>13</v>
      </c>
      <c r="E32" s="5" t="s">
        <v>67</v>
      </c>
      <c r="F32" s="9">
        <f t="shared" si="0"/>
        <v>18.933333333333334</v>
      </c>
      <c r="G32">
        <f t="shared" si="1"/>
        <v>15146.666666666666</v>
      </c>
    </row>
    <row r="33" spans="1:7" ht="15" thickBot="1" x14ac:dyDescent="0.4">
      <c r="A33" s="15">
        <v>1200</v>
      </c>
      <c r="B33" s="14">
        <v>45391</v>
      </c>
      <c r="C33" s="14">
        <v>45604</v>
      </c>
      <c r="D33" s="5" t="s">
        <v>22</v>
      </c>
      <c r="E33" s="5" t="s">
        <v>35</v>
      </c>
      <c r="F33" s="9">
        <f t="shared" si="0"/>
        <v>7.1</v>
      </c>
      <c r="G33">
        <f t="shared" si="1"/>
        <v>8520</v>
      </c>
    </row>
    <row r="34" spans="1:7" ht="15" thickBot="1" x14ac:dyDescent="0.4">
      <c r="A34" s="15">
        <v>800</v>
      </c>
      <c r="B34" s="14">
        <v>45699</v>
      </c>
      <c r="C34" s="14">
        <v>45740</v>
      </c>
      <c r="D34" s="5" t="s">
        <v>13</v>
      </c>
      <c r="E34" s="5" t="s">
        <v>35</v>
      </c>
      <c r="F34" s="9">
        <f t="shared" si="0"/>
        <v>1.3666666666666667</v>
      </c>
      <c r="G34">
        <f t="shared" si="1"/>
        <v>1093.3333333333333</v>
      </c>
    </row>
    <row r="35" spans="1:7" ht="15" thickBot="1" x14ac:dyDescent="0.4">
      <c r="A35" s="15">
        <v>1800</v>
      </c>
      <c r="B35" s="14">
        <v>45588</v>
      </c>
      <c r="C35" s="14">
        <v>45721</v>
      </c>
      <c r="D35" s="5" t="s">
        <v>41</v>
      </c>
      <c r="E35" s="5" t="s">
        <v>18</v>
      </c>
      <c r="F35" s="9">
        <f t="shared" si="0"/>
        <v>4.4333333333333336</v>
      </c>
      <c r="G35">
        <f t="shared" si="1"/>
        <v>7980</v>
      </c>
    </row>
    <row r="36" spans="1:7" ht="15" thickBot="1" x14ac:dyDescent="0.4">
      <c r="A36" s="15">
        <v>1200</v>
      </c>
      <c r="B36" s="14">
        <v>45312</v>
      </c>
      <c r="C36" s="14">
        <v>45652</v>
      </c>
      <c r="D36" s="5" t="s">
        <v>22</v>
      </c>
      <c r="E36" s="5" t="s">
        <v>18</v>
      </c>
      <c r="F36" s="9">
        <f t="shared" si="0"/>
        <v>11.333333333333334</v>
      </c>
      <c r="G36">
        <f t="shared" si="1"/>
        <v>13600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77111-0F11-4652-9B86-3AA70F1DAFE9}">
  <dimension ref="A1:M36"/>
  <sheetViews>
    <sheetView workbookViewId="0">
      <selection activeCell="L5" sqref="L5"/>
    </sheetView>
  </sheetViews>
  <sheetFormatPr defaultRowHeight="14.5" x14ac:dyDescent="0.35"/>
  <cols>
    <col min="1" max="1" width="16.453125" customWidth="1"/>
    <col min="2" max="2" width="10.81640625" customWidth="1"/>
    <col min="3" max="3" width="26.7265625" bestFit="1" customWidth="1"/>
    <col min="4" max="4" width="19.90625" style="18" bestFit="1" customWidth="1"/>
  </cols>
  <sheetData>
    <row r="1" spans="1:13" ht="27.5" customHeight="1" thickBot="1" x14ac:dyDescent="0.4">
      <c r="A1" s="35" t="s">
        <v>0</v>
      </c>
      <c r="B1" s="36" t="s">
        <v>7</v>
      </c>
      <c r="C1" s="37" t="s">
        <v>125</v>
      </c>
      <c r="D1" s="38" t="s">
        <v>126</v>
      </c>
    </row>
    <row r="2" spans="1:13" ht="15" thickBot="1" x14ac:dyDescent="0.4">
      <c r="A2" s="5" t="s">
        <v>11</v>
      </c>
      <c r="B2" s="6">
        <v>25</v>
      </c>
      <c r="C2" s="9">
        <f>(sheet1!G2-sheet1!F2)/30</f>
        <v>6.333333333333333</v>
      </c>
      <c r="D2" s="18" t="str">
        <f>IF(AND(B2&lt;8,C2&gt;=6),"yes","no")</f>
        <v>no</v>
      </c>
      <c r="E2" t="s">
        <v>149</v>
      </c>
    </row>
    <row r="3" spans="1:13" ht="15" customHeight="1" thickBot="1" x14ac:dyDescent="0.4">
      <c r="A3" s="5" t="s">
        <v>17</v>
      </c>
      <c r="B3" s="6">
        <v>20</v>
      </c>
      <c r="C3" s="9">
        <f>(sheet1!G3-sheet1!F3)/30</f>
        <v>0.8666666666666667</v>
      </c>
      <c r="D3" s="18" t="str">
        <f>IF(AND(B3&lt;8,C3&gt;=6),"yes","no")</f>
        <v>no</v>
      </c>
      <c r="E3" t="s">
        <v>150</v>
      </c>
    </row>
    <row r="4" spans="1:13" ht="15" thickBot="1" x14ac:dyDescent="0.4">
      <c r="A4" s="5" t="s">
        <v>21</v>
      </c>
      <c r="B4" s="6">
        <v>18</v>
      </c>
      <c r="C4" s="9">
        <f>(sheet1!G4-sheet1!F4)/30</f>
        <v>6</v>
      </c>
      <c r="D4" s="18" t="str">
        <f t="shared" ref="D4:D36" si="0">IF(AND(B4&lt;8,C4&gt;=6),"yes","no")</f>
        <v>no</v>
      </c>
      <c r="E4" t="s">
        <v>151</v>
      </c>
      <c r="M4" t="s">
        <v>152</v>
      </c>
    </row>
    <row r="5" spans="1:13" ht="15" thickBot="1" x14ac:dyDescent="0.4">
      <c r="A5" s="5" t="s">
        <v>26</v>
      </c>
      <c r="B5" s="6">
        <v>16</v>
      </c>
      <c r="C5" s="9">
        <f>(sheet1!G5-sheet1!F5)/30</f>
        <v>3.6</v>
      </c>
      <c r="D5" s="18" t="str">
        <f t="shared" si="0"/>
        <v>no</v>
      </c>
    </row>
    <row r="6" spans="1:13" ht="15" thickBot="1" x14ac:dyDescent="0.4">
      <c r="A6" s="5" t="s">
        <v>30</v>
      </c>
      <c r="B6" s="6">
        <v>12</v>
      </c>
      <c r="C6" s="9">
        <f>(sheet1!G6-sheet1!F6)/30</f>
        <v>7.166666666666667</v>
      </c>
      <c r="D6" s="18" t="str">
        <f t="shared" si="0"/>
        <v>no</v>
      </c>
    </row>
    <row r="7" spans="1:13" ht="15" thickBot="1" x14ac:dyDescent="0.4">
      <c r="A7" s="5" t="s">
        <v>34</v>
      </c>
      <c r="B7" s="6">
        <v>14</v>
      </c>
      <c r="C7" s="9">
        <f>(sheet1!G7-sheet1!F7)/30</f>
        <v>2.5</v>
      </c>
      <c r="D7" s="18" t="str">
        <f t="shared" si="0"/>
        <v>no</v>
      </c>
    </row>
    <row r="8" spans="1:13" ht="15" thickBot="1" x14ac:dyDescent="0.4">
      <c r="A8" s="5" t="s">
        <v>38</v>
      </c>
      <c r="B8" s="6">
        <v>25</v>
      </c>
      <c r="C8" s="9">
        <f>(sheet1!G8-sheet1!F8)/30</f>
        <v>2.9666666666666668</v>
      </c>
      <c r="D8" s="18" t="str">
        <f t="shared" si="0"/>
        <v>no</v>
      </c>
    </row>
    <row r="9" spans="1:13" ht="15" thickBot="1" x14ac:dyDescent="0.4">
      <c r="A9" s="5" t="s">
        <v>40</v>
      </c>
      <c r="B9" s="6">
        <v>28</v>
      </c>
      <c r="C9" s="9">
        <f>(sheet1!G9-sheet1!F9)/30</f>
        <v>3.7666666666666666</v>
      </c>
      <c r="D9" s="18" t="str">
        <f t="shared" si="0"/>
        <v>no</v>
      </c>
    </row>
    <row r="10" spans="1:13" ht="15" thickBot="1" x14ac:dyDescent="0.4">
      <c r="A10" s="5" t="s">
        <v>44</v>
      </c>
      <c r="B10" s="6">
        <v>3</v>
      </c>
      <c r="C10" s="9">
        <f>(sheet1!G10-sheet1!F10)/30</f>
        <v>0.43333333333333335</v>
      </c>
      <c r="D10" s="18" t="str">
        <f t="shared" si="0"/>
        <v>no</v>
      </c>
    </row>
    <row r="11" spans="1:13" ht="16.5" customHeight="1" thickBot="1" x14ac:dyDescent="0.4">
      <c r="A11" s="5" t="s">
        <v>47</v>
      </c>
      <c r="B11" s="6">
        <v>29</v>
      </c>
      <c r="C11" s="9">
        <f>(sheet1!G11-sheet1!F11)/30</f>
        <v>2.6</v>
      </c>
      <c r="D11" s="18" t="str">
        <f t="shared" si="0"/>
        <v>no</v>
      </c>
    </row>
    <row r="12" spans="1:13" ht="15" thickBot="1" x14ac:dyDescent="0.4">
      <c r="A12" s="5" t="s">
        <v>50</v>
      </c>
      <c r="B12" s="6">
        <v>13</v>
      </c>
      <c r="C12" s="9">
        <f>(sheet1!G12-sheet1!F12)/30</f>
        <v>5.4</v>
      </c>
      <c r="D12" s="18" t="str">
        <f t="shared" si="0"/>
        <v>no</v>
      </c>
    </row>
    <row r="13" spans="1:13" ht="15" thickBot="1" x14ac:dyDescent="0.4">
      <c r="A13" s="5" t="s">
        <v>53</v>
      </c>
      <c r="B13" s="6">
        <v>19</v>
      </c>
      <c r="C13" s="9">
        <f>(sheet1!G13-sheet1!F13)/30</f>
        <v>13.8</v>
      </c>
      <c r="D13" s="18" t="str">
        <f t="shared" si="0"/>
        <v>no</v>
      </c>
    </row>
    <row r="14" spans="1:13" ht="15" thickBot="1" x14ac:dyDescent="0.4">
      <c r="A14" s="5" t="s">
        <v>56</v>
      </c>
      <c r="B14" s="6">
        <v>22</v>
      </c>
      <c r="C14" s="9">
        <f>(sheet1!G14-sheet1!F14)/30</f>
        <v>2.8333333333333335</v>
      </c>
      <c r="D14" s="18" t="str">
        <f t="shared" si="0"/>
        <v>no</v>
      </c>
    </row>
    <row r="15" spans="1:13" ht="15" thickBot="1" x14ac:dyDescent="0.4">
      <c r="A15" s="5" t="s">
        <v>58</v>
      </c>
      <c r="B15" s="6">
        <v>28</v>
      </c>
      <c r="C15" s="9">
        <f>(sheet1!G15-sheet1!F15)/30</f>
        <v>5.9</v>
      </c>
      <c r="D15" s="18" t="str">
        <f t="shared" si="0"/>
        <v>no</v>
      </c>
    </row>
    <row r="16" spans="1:13" ht="15" thickBot="1" x14ac:dyDescent="0.4">
      <c r="A16" s="5" t="s">
        <v>60</v>
      </c>
      <c r="B16" s="6">
        <v>8</v>
      </c>
      <c r="C16" s="9">
        <f>(sheet1!G16-sheet1!F16)/30</f>
        <v>6.9</v>
      </c>
      <c r="D16" s="18" t="str">
        <f t="shared" si="0"/>
        <v>no</v>
      </c>
    </row>
    <row r="17" spans="1:4" ht="15" thickBot="1" x14ac:dyDescent="0.4">
      <c r="A17" s="5" t="s">
        <v>62</v>
      </c>
      <c r="B17" s="6">
        <v>14</v>
      </c>
      <c r="C17" s="9">
        <f>(sheet1!G17-sheet1!F17)/30</f>
        <v>1</v>
      </c>
      <c r="D17" s="18" t="str">
        <f t="shared" si="0"/>
        <v>no</v>
      </c>
    </row>
    <row r="18" spans="1:4" ht="15" thickBot="1" x14ac:dyDescent="0.4">
      <c r="A18" s="5" t="s">
        <v>64</v>
      </c>
      <c r="B18" s="6">
        <v>25</v>
      </c>
      <c r="C18" s="9">
        <f>(sheet1!G18-sheet1!F18)/30</f>
        <v>11.866666666666667</v>
      </c>
      <c r="D18" s="18" t="str">
        <f t="shared" si="0"/>
        <v>no</v>
      </c>
    </row>
    <row r="19" spans="1:4" ht="15" thickBot="1" x14ac:dyDescent="0.4">
      <c r="A19" s="5" t="s">
        <v>66</v>
      </c>
      <c r="B19" s="6">
        <v>13</v>
      </c>
      <c r="C19" s="9">
        <f>(sheet1!G19-sheet1!F19)/30</f>
        <v>14.533333333333333</v>
      </c>
      <c r="D19" s="18" t="str">
        <f t="shared" si="0"/>
        <v>no</v>
      </c>
    </row>
    <row r="20" spans="1:4" ht="15" thickBot="1" x14ac:dyDescent="0.4">
      <c r="A20" s="5" t="s">
        <v>69</v>
      </c>
      <c r="B20" s="6">
        <v>26</v>
      </c>
      <c r="C20" s="9">
        <f>(sheet1!G20-sheet1!F20)/30</f>
        <v>10.333333333333334</v>
      </c>
      <c r="D20" s="18" t="str">
        <f t="shared" si="0"/>
        <v>no</v>
      </c>
    </row>
    <row r="21" spans="1:4" ht="15" thickBot="1" x14ac:dyDescent="0.4">
      <c r="A21" s="5" t="s">
        <v>71</v>
      </c>
      <c r="B21" s="6">
        <v>21</v>
      </c>
      <c r="C21" s="9">
        <f>(sheet1!G21-sheet1!F21)/30</f>
        <v>6.3666666666666663</v>
      </c>
      <c r="D21" s="18" t="str">
        <f t="shared" si="0"/>
        <v>no</v>
      </c>
    </row>
    <row r="22" spans="1:4" ht="15" thickBot="1" x14ac:dyDescent="0.4">
      <c r="A22" s="5" t="s">
        <v>74</v>
      </c>
      <c r="B22" s="6">
        <v>19</v>
      </c>
      <c r="C22" s="9">
        <f>(sheet1!G22-sheet1!F22)/30</f>
        <v>17.600000000000001</v>
      </c>
      <c r="D22" s="18" t="str">
        <f t="shared" si="0"/>
        <v>no</v>
      </c>
    </row>
    <row r="23" spans="1:4" ht="15" thickBot="1" x14ac:dyDescent="0.4">
      <c r="A23" s="5" t="s">
        <v>76</v>
      </c>
      <c r="B23" s="6">
        <v>5</v>
      </c>
      <c r="C23" s="9">
        <f>(sheet1!G23-sheet1!F23)/30</f>
        <v>9.8666666666666671</v>
      </c>
      <c r="D23" s="18" t="str">
        <f t="shared" si="0"/>
        <v>yes</v>
      </c>
    </row>
    <row r="24" spans="1:4" ht="15" thickBot="1" x14ac:dyDescent="0.4">
      <c r="A24" s="5" t="s">
        <v>78</v>
      </c>
      <c r="B24" s="6">
        <v>18</v>
      </c>
      <c r="C24" s="9">
        <f>(sheet1!G24-sheet1!F24)/30</f>
        <v>0.13333333333333333</v>
      </c>
      <c r="D24" s="18" t="str">
        <f t="shared" si="0"/>
        <v>no</v>
      </c>
    </row>
    <row r="25" spans="1:4" ht="15" thickBot="1" x14ac:dyDescent="0.4">
      <c r="A25" s="5" t="s">
        <v>80</v>
      </c>
      <c r="B25" s="6">
        <v>6</v>
      </c>
      <c r="C25" s="9">
        <f>(sheet1!G25-sheet1!F25)/30</f>
        <v>9.6999999999999993</v>
      </c>
      <c r="D25" s="18" t="str">
        <f t="shared" si="0"/>
        <v>yes</v>
      </c>
    </row>
    <row r="26" spans="1:4" ht="15" thickBot="1" x14ac:dyDescent="0.4">
      <c r="A26" s="5" t="s">
        <v>82</v>
      </c>
      <c r="B26" s="6">
        <v>17</v>
      </c>
      <c r="C26" s="9">
        <f>(sheet1!G26-sheet1!F26)/30</f>
        <v>2.8666666666666667</v>
      </c>
      <c r="D26" s="18" t="str">
        <f t="shared" si="0"/>
        <v>no</v>
      </c>
    </row>
    <row r="27" spans="1:4" ht="15" thickBot="1" x14ac:dyDescent="0.4">
      <c r="A27" s="5" t="s">
        <v>85</v>
      </c>
      <c r="B27" s="6">
        <v>3</v>
      </c>
      <c r="C27" s="9">
        <f>(sheet1!G27-sheet1!F27)/30</f>
        <v>0.83333333333333337</v>
      </c>
      <c r="D27" s="18" t="str">
        <f t="shared" si="0"/>
        <v>no</v>
      </c>
    </row>
    <row r="28" spans="1:4" ht="15" thickBot="1" x14ac:dyDescent="0.4">
      <c r="A28" s="5" t="s">
        <v>87</v>
      </c>
      <c r="B28" s="6">
        <v>28</v>
      </c>
      <c r="C28" s="9">
        <f>(sheet1!G28-sheet1!F28)/30</f>
        <v>0.93333333333333335</v>
      </c>
      <c r="D28" s="18" t="str">
        <f t="shared" si="0"/>
        <v>no</v>
      </c>
    </row>
    <row r="29" spans="1:4" ht="15" thickBot="1" x14ac:dyDescent="0.4">
      <c r="A29" s="5" t="s">
        <v>89</v>
      </c>
      <c r="B29" s="6">
        <v>23</v>
      </c>
      <c r="C29" s="9">
        <f>(sheet1!G29-sheet1!F29)/30</f>
        <v>1.0333333333333334</v>
      </c>
      <c r="D29" s="18" t="str">
        <f t="shared" si="0"/>
        <v>no</v>
      </c>
    </row>
    <row r="30" spans="1:4" ht="15" thickBot="1" x14ac:dyDescent="0.4">
      <c r="A30" s="5" t="s">
        <v>91</v>
      </c>
      <c r="B30" s="6">
        <v>8</v>
      </c>
      <c r="C30" s="9">
        <f>(sheet1!G30-sheet1!F30)/30</f>
        <v>0.23333333333333334</v>
      </c>
      <c r="D30" s="18" t="str">
        <f t="shared" si="0"/>
        <v>no</v>
      </c>
    </row>
    <row r="31" spans="1:4" ht="15" thickBot="1" x14ac:dyDescent="0.4">
      <c r="A31" s="5" t="s">
        <v>93</v>
      </c>
      <c r="B31" s="6">
        <v>23</v>
      </c>
      <c r="C31" s="9">
        <f>(sheet1!G31-sheet1!F31)/30</f>
        <v>2.6</v>
      </c>
      <c r="D31" s="18" t="str">
        <f t="shared" si="0"/>
        <v>no</v>
      </c>
    </row>
    <row r="32" spans="1:4" ht="15" thickBot="1" x14ac:dyDescent="0.4">
      <c r="A32" s="5" t="s">
        <v>96</v>
      </c>
      <c r="B32" s="6">
        <v>9</v>
      </c>
      <c r="C32" s="9">
        <f>(sheet1!G32-sheet1!F32)/30</f>
        <v>18.933333333333334</v>
      </c>
      <c r="D32" s="18" t="str">
        <f t="shared" si="0"/>
        <v>no</v>
      </c>
    </row>
    <row r="33" spans="1:4" ht="15" thickBot="1" x14ac:dyDescent="0.4">
      <c r="A33" s="5" t="s">
        <v>99</v>
      </c>
      <c r="B33" s="6">
        <v>2</v>
      </c>
      <c r="C33" s="9">
        <f>(sheet1!G33-sheet1!F33)/30</f>
        <v>7.1</v>
      </c>
      <c r="D33" s="18" t="str">
        <f t="shared" si="0"/>
        <v>yes</v>
      </c>
    </row>
    <row r="34" spans="1:4" ht="15" thickBot="1" x14ac:dyDescent="0.4">
      <c r="A34" s="5" t="s">
        <v>101</v>
      </c>
      <c r="B34" s="6">
        <v>30</v>
      </c>
      <c r="C34" s="9">
        <f>(sheet1!G34-sheet1!F34)/30</f>
        <v>1.3666666666666667</v>
      </c>
      <c r="D34" s="18" t="str">
        <f t="shared" si="0"/>
        <v>no</v>
      </c>
    </row>
    <row r="35" spans="1:4" ht="15" thickBot="1" x14ac:dyDescent="0.4">
      <c r="A35" s="5" t="s">
        <v>103</v>
      </c>
      <c r="B35" s="6">
        <v>23</v>
      </c>
      <c r="C35" s="9">
        <f>(sheet1!G35-sheet1!F35)/30</f>
        <v>4.4333333333333336</v>
      </c>
      <c r="D35" s="18" t="str">
        <f t="shared" si="0"/>
        <v>no</v>
      </c>
    </row>
    <row r="36" spans="1:4" ht="15" thickBot="1" x14ac:dyDescent="0.4">
      <c r="A36" s="5" t="s">
        <v>106</v>
      </c>
      <c r="B36" s="6">
        <v>27</v>
      </c>
      <c r="C36" s="9">
        <f>(sheet1!G36-sheet1!F36)/30</f>
        <v>11.333333333333334</v>
      </c>
      <c r="D36" s="18" t="str">
        <f t="shared" si="0"/>
        <v>no</v>
      </c>
    </row>
  </sheetData>
  <conditionalFormatting sqref="B1:B1048576">
    <cfRule type="cellIs" dxfId="1" priority="4" operator="lessThan">
      <formula>8</formula>
    </cfRule>
  </conditionalFormatting>
  <conditionalFormatting sqref="C1:C1048576">
    <cfRule type="cellIs" dxfId="0" priority="1" operator="greaterThan">
      <formula>6</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A800F-BE36-4EB6-8135-6E5A7EE4E60D}">
  <dimension ref="A1:J52"/>
  <sheetViews>
    <sheetView workbookViewId="0">
      <selection activeCell="A2" sqref="A2"/>
    </sheetView>
  </sheetViews>
  <sheetFormatPr defaultRowHeight="14.5" x14ac:dyDescent="0.35"/>
  <cols>
    <col min="1" max="1" width="10.81640625" style="18" bestFit="1" customWidth="1"/>
    <col min="2" max="2" width="11" customWidth="1"/>
    <col min="3" max="3" width="11.453125" bestFit="1" customWidth="1"/>
    <col min="4" max="4" width="11.81640625" style="18" customWidth="1"/>
    <col min="5" max="5" width="13.6328125" style="18" customWidth="1"/>
    <col min="8" max="8" width="14.26953125" bestFit="1" customWidth="1"/>
    <col min="9" max="9" width="19.6328125" bestFit="1" customWidth="1"/>
    <col min="10" max="10" width="15.26953125" bestFit="1" customWidth="1"/>
  </cols>
  <sheetData>
    <row r="1" spans="1:10" ht="29.5" thickBot="1" x14ac:dyDescent="0.4">
      <c r="A1" s="27" t="s">
        <v>124</v>
      </c>
      <c r="B1" s="3" t="s">
        <v>8</v>
      </c>
      <c r="C1" s="3" t="s">
        <v>3</v>
      </c>
      <c r="D1" s="3" t="s">
        <v>6</v>
      </c>
      <c r="E1" s="28" t="s">
        <v>127</v>
      </c>
      <c r="F1" s="28" t="s">
        <v>128</v>
      </c>
    </row>
    <row r="2" spans="1:10" ht="15" thickBot="1" x14ac:dyDescent="0.4">
      <c r="A2" s="18">
        <f>SUBSTITUTE(sheet1!A2,"M","")+0</f>
        <v>1</v>
      </c>
      <c r="B2" s="5" t="s">
        <v>14</v>
      </c>
      <c r="C2" s="5" t="s">
        <v>13</v>
      </c>
      <c r="D2" s="15">
        <v>800</v>
      </c>
      <c r="E2" s="29">
        <f>D2*Question.1!C3</f>
        <v>5066.6666666666661</v>
      </c>
      <c r="F2" s="18" t="str">
        <f>IF(TRIM(sheet1!K2)&lt;&gt; "","yes","no")</f>
        <v>yes</v>
      </c>
    </row>
    <row r="3" spans="1:10" ht="15" thickBot="1" x14ac:dyDescent="0.4">
      <c r="A3" s="18">
        <f>SUBSTITUTE(sheet1!A3,"M","")+0</f>
        <v>2</v>
      </c>
      <c r="B3" s="5" t="s">
        <v>18</v>
      </c>
      <c r="C3" s="5" t="s">
        <v>13</v>
      </c>
      <c r="D3" s="15">
        <v>800</v>
      </c>
      <c r="E3" s="29">
        <f>D3*Question.1!C4</f>
        <v>693.33333333333337</v>
      </c>
      <c r="F3" s="18" t="str">
        <f>IF(TRIM(sheet1!K3)&lt;&gt;"","yes","no")</f>
        <v>yes</v>
      </c>
      <c r="H3" s="10" t="s">
        <v>133</v>
      </c>
      <c r="I3" t="s">
        <v>129</v>
      </c>
      <c r="J3" t="s">
        <v>132</v>
      </c>
    </row>
    <row r="4" spans="1:10" ht="15" thickBot="1" x14ac:dyDescent="0.4">
      <c r="A4" s="18">
        <f>SUBSTITUTE(sheet1!A4,"M","")+0</f>
        <v>3</v>
      </c>
      <c r="B4" s="5" t="s">
        <v>23</v>
      </c>
      <c r="C4" s="5" t="s">
        <v>22</v>
      </c>
      <c r="D4" s="15">
        <v>1200</v>
      </c>
      <c r="E4" s="29">
        <f>D4*Question.1!C5</f>
        <v>7200</v>
      </c>
      <c r="F4" s="18" t="str">
        <f>IF(TRIM(sheet1!K4)&lt;&gt; "","yes","no")</f>
        <v>yes</v>
      </c>
      <c r="H4" s="11" t="s">
        <v>14</v>
      </c>
      <c r="I4" s="9">
        <v>58863.333333333328</v>
      </c>
      <c r="J4" s="9">
        <v>11772.666666666666</v>
      </c>
    </row>
    <row r="5" spans="1:10" ht="15" thickBot="1" x14ac:dyDescent="0.4">
      <c r="A5" s="18">
        <f>SUBSTITUTE(sheet1!A5,"M","")+0</f>
        <v>4</v>
      </c>
      <c r="B5" s="5" t="s">
        <v>23</v>
      </c>
      <c r="C5" s="5" t="s">
        <v>22</v>
      </c>
      <c r="D5" s="15">
        <v>1200</v>
      </c>
      <c r="E5" s="29">
        <f>D5*Question.1!C6</f>
        <v>4320</v>
      </c>
      <c r="F5" s="18" t="str">
        <f>IF(TRIM(sheet1!K5)&lt;&gt;"","yes","no")</f>
        <v>yes</v>
      </c>
      <c r="H5" s="30" t="s">
        <v>131</v>
      </c>
      <c r="I5" s="9">
        <v>29400</v>
      </c>
      <c r="J5" s="9">
        <v>14700</v>
      </c>
    </row>
    <row r="6" spans="1:10" ht="15" thickBot="1" x14ac:dyDescent="0.4">
      <c r="A6" s="18">
        <f>SUBSTITUTE(sheet1!A6,"M","")+0</f>
        <v>5</v>
      </c>
      <c r="B6" s="5" t="s">
        <v>14</v>
      </c>
      <c r="C6" s="5" t="s">
        <v>31</v>
      </c>
      <c r="D6" s="15">
        <v>2500</v>
      </c>
      <c r="E6" s="29">
        <f>D6*Question.1!C7</f>
        <v>17916.666666666668</v>
      </c>
      <c r="F6" s="18" t="str">
        <f>IF(TRIM(sheet1!K6)&lt;&gt; "","yes","no")</f>
        <v>yes</v>
      </c>
      <c r="H6" s="31" t="s">
        <v>41</v>
      </c>
      <c r="I6" s="9">
        <v>17760</v>
      </c>
      <c r="J6" s="9">
        <v>17760</v>
      </c>
    </row>
    <row r="7" spans="1:10" ht="15" thickBot="1" x14ac:dyDescent="0.4">
      <c r="A7" s="18">
        <f>SUBSTITUTE(sheet1!A7,"M","")+0</f>
        <v>6</v>
      </c>
      <c r="B7" s="5" t="s">
        <v>35</v>
      </c>
      <c r="C7" s="5" t="s">
        <v>13</v>
      </c>
      <c r="D7" s="15">
        <v>800</v>
      </c>
      <c r="E7" s="29">
        <f>D7*Question.1!C8</f>
        <v>2000</v>
      </c>
      <c r="F7" s="18" t="str">
        <f>IF(TRIM(sheet1!K7)&lt;&gt;"","yes","no")</f>
        <v>yes</v>
      </c>
      <c r="H7" s="31" t="s">
        <v>22</v>
      </c>
      <c r="I7" s="9">
        <v>11640</v>
      </c>
      <c r="J7" s="9">
        <v>11640</v>
      </c>
    </row>
    <row r="8" spans="1:10" ht="15" thickBot="1" x14ac:dyDescent="0.4">
      <c r="A8" s="18">
        <f>SUBSTITUTE(sheet1!A8,"M","")+0</f>
        <v>7</v>
      </c>
      <c r="B8" s="5" t="s">
        <v>18</v>
      </c>
      <c r="C8" s="5" t="s">
        <v>13</v>
      </c>
      <c r="D8" s="15">
        <v>800</v>
      </c>
      <c r="E8" s="29">
        <f>D8*Question.1!C9</f>
        <v>2373.3333333333335</v>
      </c>
      <c r="F8" s="18" t="str">
        <f>IF(TRIM(sheet1!K8)&lt;&gt; "","yes","no")</f>
        <v>no</v>
      </c>
      <c r="H8" s="30" t="s">
        <v>116</v>
      </c>
      <c r="I8" s="9">
        <v>29463.333333333336</v>
      </c>
      <c r="J8" s="9">
        <v>9821.1111111111113</v>
      </c>
    </row>
    <row r="9" spans="1:10" ht="15" thickBot="1" x14ac:dyDescent="0.4">
      <c r="A9" s="18">
        <f>SUBSTITUTE(sheet1!A9,"M","")+0</f>
        <v>8</v>
      </c>
      <c r="B9" s="5" t="s">
        <v>42</v>
      </c>
      <c r="C9" s="5" t="s">
        <v>41</v>
      </c>
      <c r="D9" s="15">
        <v>1800</v>
      </c>
      <c r="E9" s="29">
        <f>D9*Question.1!C10</f>
        <v>6780</v>
      </c>
      <c r="F9" s="18" t="str">
        <f>IF(TRIM(sheet1!K9)&lt;&gt;"","yes","no")</f>
        <v>no</v>
      </c>
      <c r="H9" s="31" t="s">
        <v>13</v>
      </c>
      <c r="I9" s="9">
        <v>5066.6666666666661</v>
      </c>
      <c r="J9" s="9">
        <v>5066.6666666666661</v>
      </c>
    </row>
    <row r="10" spans="1:10" ht="15" thickBot="1" x14ac:dyDescent="0.4">
      <c r="A10" s="18">
        <f>SUBSTITUTE(sheet1!A10,"M","")+0</f>
        <v>9</v>
      </c>
      <c r="B10" s="5" t="s">
        <v>42</v>
      </c>
      <c r="C10" s="5" t="s">
        <v>13</v>
      </c>
      <c r="D10" s="15">
        <v>800</v>
      </c>
      <c r="E10" s="29">
        <f>D10*Question.1!C11</f>
        <v>346.66666666666669</v>
      </c>
      <c r="F10" s="18" t="str">
        <f>IF(TRIM(sheet1!K10)&lt;&gt; "","yes","no")</f>
        <v>yes</v>
      </c>
      <c r="H10" s="31" t="s">
        <v>31</v>
      </c>
      <c r="I10" s="9">
        <v>17916.666666666668</v>
      </c>
      <c r="J10" s="9">
        <v>17916.666666666668</v>
      </c>
    </row>
    <row r="11" spans="1:10" ht="15" thickBot="1" x14ac:dyDescent="0.4">
      <c r="A11" s="18">
        <f>SUBSTITUTE(sheet1!A11,"M","")+0</f>
        <v>10</v>
      </c>
      <c r="B11" s="5" t="s">
        <v>35</v>
      </c>
      <c r="C11" s="5" t="s">
        <v>22</v>
      </c>
      <c r="D11" s="15">
        <v>1200</v>
      </c>
      <c r="E11" s="29">
        <f>D11*Question.1!C12</f>
        <v>3120</v>
      </c>
      <c r="F11" s="18" t="str">
        <f>IF(TRIM(sheet1!K11)&lt;&gt;"","yes","no")</f>
        <v>yes</v>
      </c>
      <c r="H11" s="31" t="s">
        <v>22</v>
      </c>
      <c r="I11" s="9">
        <v>6480</v>
      </c>
      <c r="J11" s="9">
        <v>6480</v>
      </c>
    </row>
    <row r="12" spans="1:10" ht="15" thickBot="1" x14ac:dyDescent="0.4">
      <c r="A12" s="18">
        <f>SUBSTITUTE(sheet1!A12,"M","")+0</f>
        <v>11</v>
      </c>
      <c r="B12" s="5" t="s">
        <v>14</v>
      </c>
      <c r="C12" s="5" t="s">
        <v>22</v>
      </c>
      <c r="D12" s="15">
        <v>1200</v>
      </c>
      <c r="E12" s="29">
        <f>D12*Question.1!C13</f>
        <v>6480</v>
      </c>
      <c r="F12" s="18" t="str">
        <f>IF(TRIM(sheet1!K12)&lt;&gt; "","yes","no")</f>
        <v>yes</v>
      </c>
      <c r="H12" s="11" t="s">
        <v>67</v>
      </c>
      <c r="I12" s="9">
        <v>52720</v>
      </c>
      <c r="J12" s="9">
        <v>13180</v>
      </c>
    </row>
    <row r="13" spans="1:10" ht="15" thickBot="1" x14ac:dyDescent="0.4">
      <c r="A13" s="18">
        <f>SUBSTITUTE(sheet1!A13,"M","")+0</f>
        <v>12</v>
      </c>
      <c r="B13" s="5" t="s">
        <v>42</v>
      </c>
      <c r="C13" s="5" t="s">
        <v>22</v>
      </c>
      <c r="D13" s="15">
        <v>1200</v>
      </c>
      <c r="E13" s="29">
        <f>D13*Question.1!C14</f>
        <v>16560</v>
      </c>
      <c r="F13" s="18" t="str">
        <f>IF(TRIM(sheet1!K13)&lt;&gt;"","yes","no")</f>
        <v>yes</v>
      </c>
      <c r="H13" s="30" t="s">
        <v>131</v>
      </c>
      <c r="I13" s="9">
        <v>37573.333333333336</v>
      </c>
      <c r="J13" s="9">
        <v>12524.444444444445</v>
      </c>
    </row>
    <row r="14" spans="1:10" ht="15" thickBot="1" x14ac:dyDescent="0.4">
      <c r="A14" s="18">
        <f>SUBSTITUTE(sheet1!A14,"M","")+0</f>
        <v>13</v>
      </c>
      <c r="B14" s="5" t="s">
        <v>42</v>
      </c>
      <c r="C14" s="5" t="s">
        <v>41</v>
      </c>
      <c r="D14" s="15">
        <v>1800</v>
      </c>
      <c r="E14" s="29">
        <f>D14*Question.1!C15</f>
        <v>5100</v>
      </c>
      <c r="F14" s="18" t="str">
        <f>IF(TRIM(sheet1!K14)&lt;&gt; "","yes","no")</f>
        <v>no</v>
      </c>
      <c r="H14" s="31" t="s">
        <v>31</v>
      </c>
      <c r="I14" s="9">
        <v>36333.333333333336</v>
      </c>
      <c r="J14" s="9">
        <v>36333.333333333336</v>
      </c>
    </row>
    <row r="15" spans="1:10" ht="15" thickBot="1" x14ac:dyDescent="0.4">
      <c r="A15" s="18">
        <f>SUBSTITUTE(sheet1!A15,"M","")+0</f>
        <v>14</v>
      </c>
      <c r="B15" s="5" t="s">
        <v>35</v>
      </c>
      <c r="C15" s="5" t="s">
        <v>22</v>
      </c>
      <c r="D15" s="15">
        <v>1200</v>
      </c>
      <c r="E15" s="29">
        <f>D15*Question.1!C16</f>
        <v>7080</v>
      </c>
      <c r="F15" s="18" t="str">
        <f>IF(TRIM(sheet1!K15)&lt;&gt;"","yes","no")</f>
        <v>no</v>
      </c>
      <c r="H15" s="31" t="s">
        <v>41</v>
      </c>
      <c r="I15" s="9">
        <v>240</v>
      </c>
      <c r="J15" s="9">
        <v>240</v>
      </c>
    </row>
    <row r="16" spans="1:10" ht="15" thickBot="1" x14ac:dyDescent="0.4">
      <c r="A16" s="18">
        <f>SUBSTITUTE(sheet1!A16,"M","")+0</f>
        <v>15</v>
      </c>
      <c r="B16" s="7" t="s">
        <v>23</v>
      </c>
      <c r="C16" s="5" t="s">
        <v>13</v>
      </c>
      <c r="D16" s="15">
        <v>800</v>
      </c>
      <c r="E16" s="29">
        <f>D16*Question.1!C17</f>
        <v>5520</v>
      </c>
      <c r="F16" s="18" t="str">
        <f>IF(TRIM(sheet1!K16)&lt;&gt; "","yes","no")</f>
        <v>no</v>
      </c>
      <c r="H16" s="31" t="s">
        <v>22</v>
      </c>
      <c r="I16" s="9">
        <v>1000</v>
      </c>
      <c r="J16" s="9">
        <v>1000</v>
      </c>
    </row>
    <row r="17" spans="1:10" ht="15" thickBot="1" x14ac:dyDescent="0.4">
      <c r="A17" s="18">
        <f>SUBSTITUTE(sheet1!A17,"M","")+0</f>
        <v>16</v>
      </c>
      <c r="B17" s="5" t="s">
        <v>42</v>
      </c>
      <c r="C17" s="5" t="s">
        <v>31</v>
      </c>
      <c r="D17" s="15">
        <v>2500</v>
      </c>
      <c r="E17" s="29">
        <f>D17*Question.1!C18</f>
        <v>2500</v>
      </c>
      <c r="F17" s="18" t="str">
        <f>IF(TRIM(sheet1!K17)&lt;&gt;"","yes","no")</f>
        <v>no</v>
      </c>
      <c r="H17" s="30" t="s">
        <v>116</v>
      </c>
      <c r="I17" s="9">
        <v>15146.666666666666</v>
      </c>
      <c r="J17" s="9">
        <v>15146.666666666666</v>
      </c>
    </row>
    <row r="18" spans="1:10" ht="15" thickBot="1" x14ac:dyDescent="0.4">
      <c r="A18" s="18">
        <f>SUBSTITUTE(sheet1!A18,"M","")+0</f>
        <v>17</v>
      </c>
      <c r="B18" s="7" t="s">
        <v>23</v>
      </c>
      <c r="C18" s="5" t="s">
        <v>22</v>
      </c>
      <c r="D18" s="15">
        <v>1200</v>
      </c>
      <c r="E18" s="29">
        <f>D18*Question.1!C19</f>
        <v>14240</v>
      </c>
      <c r="F18" s="18" t="str">
        <f>IF(TRIM(sheet1!K18)&lt;&gt; "","yes","no")</f>
        <v>no</v>
      </c>
      <c r="H18" s="31" t="s">
        <v>13</v>
      </c>
      <c r="I18" s="9">
        <v>15146.666666666666</v>
      </c>
      <c r="J18" s="9">
        <v>15146.666666666666</v>
      </c>
    </row>
    <row r="19" spans="1:10" ht="15" thickBot="1" x14ac:dyDescent="0.4">
      <c r="A19" s="18">
        <f>SUBSTITUTE(sheet1!A19,"M","")+0</f>
        <v>18</v>
      </c>
      <c r="B19" s="5" t="s">
        <v>67</v>
      </c>
      <c r="C19" s="5" t="s">
        <v>31</v>
      </c>
      <c r="D19" s="15">
        <v>2500</v>
      </c>
      <c r="E19" s="29">
        <f>D19*Question.1!C20</f>
        <v>36333.333333333336</v>
      </c>
      <c r="F19" s="18" t="str">
        <f>IF(TRIM(sheet1!K19)&lt;&gt;"","yes","no")</f>
        <v>no</v>
      </c>
      <c r="H19" s="11" t="s">
        <v>23</v>
      </c>
      <c r="I19" s="9">
        <v>31863.333333333332</v>
      </c>
      <c r="J19" s="9">
        <v>6372.6666666666661</v>
      </c>
    </row>
    <row r="20" spans="1:10" ht="15" thickBot="1" x14ac:dyDescent="0.4">
      <c r="A20" s="18">
        <f>SUBSTITUTE(sheet1!A20,"M","")+0</f>
        <v>19</v>
      </c>
      <c r="B20" s="5" t="s">
        <v>35</v>
      </c>
      <c r="C20" s="5" t="s">
        <v>13</v>
      </c>
      <c r="D20" s="15">
        <v>800</v>
      </c>
      <c r="E20" s="29">
        <f>D20*Question.1!C21</f>
        <v>8266.6666666666679</v>
      </c>
      <c r="F20" s="18" t="str">
        <f>IF(TRIM(sheet1!K20)&lt;&gt; "","yes","no")</f>
        <v>no</v>
      </c>
      <c r="H20" s="30" t="s">
        <v>131</v>
      </c>
      <c r="I20" s="9">
        <v>20343.333333333332</v>
      </c>
      <c r="J20" s="9">
        <v>6781.1111111111104</v>
      </c>
    </row>
    <row r="21" spans="1:10" ht="15" thickBot="1" x14ac:dyDescent="0.4">
      <c r="A21" s="18">
        <f>SUBSTITUTE(sheet1!A21,"M","")+0</f>
        <v>20</v>
      </c>
      <c r="B21" s="5" t="s">
        <v>35</v>
      </c>
      <c r="C21" s="5" t="s">
        <v>31</v>
      </c>
      <c r="D21" s="15">
        <v>2500</v>
      </c>
      <c r="E21" s="29">
        <f>D21*Question.1!C22</f>
        <v>15916.666666666666</v>
      </c>
      <c r="F21" s="18" t="str">
        <f>IF(TRIM(sheet1!K21)&lt;&gt;"","yes","no")</f>
        <v>yes</v>
      </c>
      <c r="H21" s="31" t="s">
        <v>13</v>
      </c>
      <c r="I21" s="9">
        <v>5520</v>
      </c>
      <c r="J21" s="9">
        <v>5520</v>
      </c>
    </row>
    <row r="22" spans="1:10" ht="15" thickBot="1" x14ac:dyDescent="0.4">
      <c r="A22" s="18">
        <f>SUBSTITUTE(sheet1!A22,"M","")+0</f>
        <v>21</v>
      </c>
      <c r="B22" s="5" t="s">
        <v>35</v>
      </c>
      <c r="C22" s="5" t="s">
        <v>41</v>
      </c>
      <c r="D22" s="15">
        <v>1800</v>
      </c>
      <c r="E22" s="29">
        <f>D22*Question.1!C23</f>
        <v>31680.000000000004</v>
      </c>
      <c r="F22" s="18" t="str">
        <f>IF(TRIM(sheet1!K22)&lt;&gt; "","yes","no")</f>
        <v>no</v>
      </c>
      <c r="H22" s="31" t="s">
        <v>31</v>
      </c>
      <c r="I22" s="9">
        <v>583.33333333333337</v>
      </c>
      <c r="J22" s="9">
        <v>583.33333333333337</v>
      </c>
    </row>
    <row r="23" spans="1:10" ht="15" thickBot="1" x14ac:dyDescent="0.4">
      <c r="A23" s="18">
        <f>SUBSTITUTE(sheet1!A23,"M","")+0</f>
        <v>22</v>
      </c>
      <c r="B23" s="7" t="s">
        <v>14</v>
      </c>
      <c r="C23" s="5" t="s">
        <v>41</v>
      </c>
      <c r="D23" s="15">
        <v>1800</v>
      </c>
      <c r="E23" s="29">
        <f>D23*Question.1!C24</f>
        <v>17760</v>
      </c>
      <c r="F23" s="18" t="str">
        <f>IF(TRIM(sheet1!K23)&lt;&gt;"","yes","no")</f>
        <v>no</v>
      </c>
      <c r="H23" s="31" t="s">
        <v>22</v>
      </c>
      <c r="I23" s="9">
        <v>14240</v>
      </c>
      <c r="J23" s="9">
        <v>14240</v>
      </c>
    </row>
    <row r="24" spans="1:10" ht="15" thickBot="1" x14ac:dyDescent="0.4">
      <c r="A24" s="18">
        <f>SUBSTITUTE(sheet1!A24,"M","")+0</f>
        <v>23</v>
      </c>
      <c r="B24" s="5" t="s">
        <v>67</v>
      </c>
      <c r="C24" s="5" t="s">
        <v>41</v>
      </c>
      <c r="D24" s="15">
        <v>1800</v>
      </c>
      <c r="E24" s="29">
        <f>D24*Question.1!C25</f>
        <v>240</v>
      </c>
      <c r="F24" s="18" t="str">
        <f>IF(TRIM(sheet1!K24)&lt;&gt; "","yes","no")</f>
        <v>no</v>
      </c>
      <c r="H24" s="30" t="s">
        <v>116</v>
      </c>
      <c r="I24" s="9">
        <v>11520</v>
      </c>
      <c r="J24" s="9">
        <v>5760</v>
      </c>
    </row>
    <row r="25" spans="1:10" ht="15" thickBot="1" x14ac:dyDescent="0.4">
      <c r="A25" s="18">
        <f>SUBSTITUTE(sheet1!A25,"M","")+0</f>
        <v>24</v>
      </c>
      <c r="B25" s="7" t="s">
        <v>14</v>
      </c>
      <c r="C25" s="5" t="s">
        <v>22</v>
      </c>
      <c r="D25" s="15">
        <v>1200</v>
      </c>
      <c r="E25" s="29">
        <f>D25*Question.1!C26</f>
        <v>11640</v>
      </c>
      <c r="F25" s="18" t="str">
        <f>IF(TRIM(sheet1!K25)&lt;&gt;"","yes","no")</f>
        <v>no</v>
      </c>
      <c r="H25" s="31" t="s">
        <v>22</v>
      </c>
      <c r="I25" s="9">
        <v>11520</v>
      </c>
      <c r="J25" s="9">
        <v>5760</v>
      </c>
    </row>
    <row r="26" spans="1:10" ht="15" thickBot="1" x14ac:dyDescent="0.4">
      <c r="A26" s="18">
        <f>SUBSTITUTE(sheet1!A26,"M","")+0</f>
        <v>25</v>
      </c>
      <c r="B26" s="5" t="s">
        <v>35</v>
      </c>
      <c r="C26" s="5" t="s">
        <v>41</v>
      </c>
      <c r="D26" s="15">
        <v>1800</v>
      </c>
      <c r="E26" s="29">
        <f>D26*Question.1!C27</f>
        <v>5160</v>
      </c>
      <c r="F26" s="18" t="str">
        <f>IF(TRIM(sheet1!K26)&lt;&gt; "","yes","no")</f>
        <v>yes</v>
      </c>
      <c r="H26" s="11" t="s">
        <v>42</v>
      </c>
      <c r="I26" s="9">
        <v>37786.666666666664</v>
      </c>
      <c r="J26" s="9">
        <v>6297.7777777777774</v>
      </c>
    </row>
    <row r="27" spans="1:10" ht="15" thickBot="1" x14ac:dyDescent="0.4">
      <c r="A27" s="18">
        <f>SUBSTITUTE(sheet1!A27,"M","")+0</f>
        <v>26</v>
      </c>
      <c r="B27" s="5" t="s">
        <v>67</v>
      </c>
      <c r="C27" s="5" t="s">
        <v>22</v>
      </c>
      <c r="D27" s="15">
        <v>1200</v>
      </c>
      <c r="E27" s="29">
        <f>D27*Question.1!C28</f>
        <v>1000</v>
      </c>
      <c r="F27" s="18" t="str">
        <f>IF(TRIM(sheet1!K27)&lt;&gt;"","yes","no")</f>
        <v>no</v>
      </c>
      <c r="H27" s="30" t="s">
        <v>131</v>
      </c>
      <c r="I27" s="9">
        <v>14380</v>
      </c>
      <c r="J27" s="9">
        <v>4793.333333333333</v>
      </c>
    </row>
    <row r="28" spans="1:10" ht="15" thickBot="1" x14ac:dyDescent="0.4">
      <c r="A28" s="18">
        <f>SUBSTITUTE(sheet1!A28,"M","")+0</f>
        <v>27</v>
      </c>
      <c r="B28" s="5" t="s">
        <v>35</v>
      </c>
      <c r="C28" s="5" t="s">
        <v>31</v>
      </c>
      <c r="D28" s="15">
        <v>2500</v>
      </c>
      <c r="E28" s="29">
        <f>D28*Question.1!C29</f>
        <v>2333.3333333333335</v>
      </c>
      <c r="F28" s="18" t="str">
        <f>IF(TRIM(sheet1!K28)&lt;&gt; "","yes","no")</f>
        <v>no</v>
      </c>
      <c r="H28" s="31" t="s">
        <v>31</v>
      </c>
      <c r="I28" s="9">
        <v>2500</v>
      </c>
      <c r="J28" s="9">
        <v>2500</v>
      </c>
    </row>
    <row r="29" spans="1:10" ht="15" thickBot="1" x14ac:dyDescent="0.4">
      <c r="A29" s="18">
        <f>SUBSTITUTE(sheet1!A29,"M","")+0</f>
        <v>28</v>
      </c>
      <c r="B29" s="5" t="s">
        <v>18</v>
      </c>
      <c r="C29" s="5" t="s">
        <v>22</v>
      </c>
      <c r="D29" s="15">
        <v>1200</v>
      </c>
      <c r="E29" s="29">
        <f>D29*Question.1!C30</f>
        <v>1240.0000000000002</v>
      </c>
      <c r="F29" s="18" t="str">
        <f>IF(TRIM(sheet1!K29)&lt;&gt;"","yes","no")</f>
        <v>no</v>
      </c>
      <c r="H29" s="31" t="s">
        <v>41</v>
      </c>
      <c r="I29" s="9">
        <v>11880</v>
      </c>
      <c r="J29" s="9">
        <v>5940</v>
      </c>
    </row>
    <row r="30" spans="1:10" ht="15" thickBot="1" x14ac:dyDescent="0.4">
      <c r="A30" s="18">
        <f>SUBSTITUTE(sheet1!A30,"M","")+0</f>
        <v>29</v>
      </c>
      <c r="B30" s="7" t="s">
        <v>23</v>
      </c>
      <c r="C30" s="5" t="s">
        <v>31</v>
      </c>
      <c r="D30" s="15">
        <v>2500</v>
      </c>
      <c r="E30" s="29">
        <f>D30*Question.1!C31</f>
        <v>583.33333333333337</v>
      </c>
      <c r="F30" s="18" t="str">
        <f>IF(TRIM(sheet1!K30)&lt;&gt; "","yes","no")</f>
        <v>no</v>
      </c>
      <c r="H30" s="30" t="s">
        <v>116</v>
      </c>
      <c r="I30" s="9">
        <v>23406.666666666668</v>
      </c>
      <c r="J30" s="9">
        <v>7802.2222222222226</v>
      </c>
    </row>
    <row r="31" spans="1:10" ht="15" thickBot="1" x14ac:dyDescent="0.4">
      <c r="A31" s="18">
        <f>SUBSTITUTE(sheet1!A31,"M","")+0</f>
        <v>30</v>
      </c>
      <c r="B31" s="5" t="s">
        <v>42</v>
      </c>
      <c r="C31" s="5" t="s">
        <v>31</v>
      </c>
      <c r="D31" s="15">
        <v>2500</v>
      </c>
      <c r="E31" s="29">
        <f>D31*Question.1!C32</f>
        <v>6500</v>
      </c>
      <c r="F31" s="18" t="str">
        <f>IF(TRIM(sheet1!K31)&lt;&gt;"","yes","no")</f>
        <v>yes</v>
      </c>
      <c r="H31" s="31" t="s">
        <v>13</v>
      </c>
      <c r="I31" s="9">
        <v>346.66666666666669</v>
      </c>
      <c r="J31" s="9">
        <v>346.66666666666669</v>
      </c>
    </row>
    <row r="32" spans="1:10" ht="15" thickBot="1" x14ac:dyDescent="0.4">
      <c r="A32" s="18">
        <f>SUBSTITUTE(sheet1!A32,"M","")+0</f>
        <v>31</v>
      </c>
      <c r="B32" s="5" t="s">
        <v>67</v>
      </c>
      <c r="C32" s="5" t="s">
        <v>13</v>
      </c>
      <c r="D32" s="15">
        <v>800</v>
      </c>
      <c r="E32" s="29">
        <f>D32*Question.1!C33</f>
        <v>15146.666666666666</v>
      </c>
      <c r="F32" s="18" t="str">
        <f>IF(TRIM(sheet1!K32)&lt;&gt; "","yes","no")</f>
        <v>yes</v>
      </c>
      <c r="H32" s="31" t="s">
        <v>31</v>
      </c>
      <c r="I32" s="9">
        <v>6500</v>
      </c>
      <c r="J32" s="9">
        <v>6500</v>
      </c>
    </row>
    <row r="33" spans="1:10" ht="15" thickBot="1" x14ac:dyDescent="0.4">
      <c r="A33" s="18">
        <f>SUBSTITUTE(sheet1!A33,"M","")+0</f>
        <v>32</v>
      </c>
      <c r="B33" s="5" t="s">
        <v>35</v>
      </c>
      <c r="C33" s="5" t="s">
        <v>22</v>
      </c>
      <c r="D33" s="15">
        <v>1200</v>
      </c>
      <c r="E33" s="29">
        <f>D33*Question.1!C34</f>
        <v>8520</v>
      </c>
      <c r="F33" s="18" t="str">
        <f>IF(TRIM(sheet1!K33)&lt;&gt;"","yes","no")</f>
        <v>no</v>
      </c>
      <c r="H33" s="31" t="s">
        <v>22</v>
      </c>
      <c r="I33" s="9">
        <v>16560</v>
      </c>
      <c r="J33" s="9">
        <v>16560</v>
      </c>
    </row>
    <row r="34" spans="1:10" ht="15" thickBot="1" x14ac:dyDescent="0.4">
      <c r="A34" s="18">
        <f>SUBSTITUTE(sheet1!A34,"M","")+0</f>
        <v>33</v>
      </c>
      <c r="B34" s="5" t="s">
        <v>35</v>
      </c>
      <c r="C34" s="5" t="s">
        <v>13</v>
      </c>
      <c r="D34" s="15">
        <v>800</v>
      </c>
      <c r="E34" s="29">
        <f>D34*Question.1!C35</f>
        <v>1093.3333333333333</v>
      </c>
      <c r="F34" s="18" t="str">
        <f>IF(TRIM(sheet1!K34)&lt;&gt; "","yes","no")</f>
        <v>no</v>
      </c>
      <c r="H34" s="11" t="s">
        <v>35</v>
      </c>
      <c r="I34" s="9">
        <v>85170.000000000015</v>
      </c>
      <c r="J34" s="9">
        <v>8517.0000000000018</v>
      </c>
    </row>
    <row r="35" spans="1:10" ht="15" thickBot="1" x14ac:dyDescent="0.4">
      <c r="A35" s="18">
        <f>SUBSTITUTE(sheet1!A35,"M","")+0</f>
        <v>34</v>
      </c>
      <c r="B35" s="5" t="s">
        <v>18</v>
      </c>
      <c r="C35" s="5" t="s">
        <v>41</v>
      </c>
      <c r="D35" s="15">
        <v>1800</v>
      </c>
      <c r="E35" s="29">
        <f>D35*Question.1!C36</f>
        <v>7980</v>
      </c>
      <c r="F35" s="18" t="str">
        <f>IF(TRIM(sheet1!K35)&lt;&gt;"","yes","no")</f>
        <v>yes</v>
      </c>
      <c r="H35" s="30" t="s">
        <v>131</v>
      </c>
      <c r="I35" s="9">
        <v>58973.333333333343</v>
      </c>
      <c r="J35" s="9">
        <v>9828.8888888888905</v>
      </c>
    </row>
    <row r="36" spans="1:10" ht="15" thickBot="1" x14ac:dyDescent="0.4">
      <c r="A36" s="18">
        <f>SUBSTITUTE(sheet1!A36,"M","")+0</f>
        <v>35</v>
      </c>
      <c r="B36" s="5" t="s">
        <v>18</v>
      </c>
      <c r="C36" s="5" t="s">
        <v>22</v>
      </c>
      <c r="D36" s="15">
        <v>1200</v>
      </c>
      <c r="E36" s="29">
        <f>D36*Question.1!C37</f>
        <v>13600</v>
      </c>
      <c r="F36" s="18" t="str">
        <f>IF(TRIM(sheet1!K36)&lt;&gt; "","yes","no")</f>
        <v>no</v>
      </c>
      <c r="H36" s="31" t="s">
        <v>13</v>
      </c>
      <c r="I36" s="9">
        <v>9360.0000000000018</v>
      </c>
      <c r="J36" s="9">
        <v>4680.0000000000009</v>
      </c>
    </row>
    <row r="37" spans="1:10" x14ac:dyDescent="0.35">
      <c r="H37" s="31" t="s">
        <v>31</v>
      </c>
      <c r="I37" s="9">
        <v>2333.3333333333335</v>
      </c>
      <c r="J37" s="9">
        <v>2333.3333333333335</v>
      </c>
    </row>
    <row r="38" spans="1:10" x14ac:dyDescent="0.35">
      <c r="H38" s="31" t="s">
        <v>41</v>
      </c>
      <c r="I38" s="9">
        <v>31680.000000000004</v>
      </c>
      <c r="J38" s="9">
        <v>31680.000000000004</v>
      </c>
    </row>
    <row r="39" spans="1:10" x14ac:dyDescent="0.35">
      <c r="H39" s="31" t="s">
        <v>22</v>
      </c>
      <c r="I39" s="9">
        <v>15600</v>
      </c>
      <c r="J39" s="9">
        <v>7800</v>
      </c>
    </row>
    <row r="40" spans="1:10" x14ac:dyDescent="0.35">
      <c r="H40" s="30" t="s">
        <v>116</v>
      </c>
      <c r="I40" s="9">
        <v>26196.666666666664</v>
      </c>
      <c r="J40" s="9">
        <v>6549.1666666666661</v>
      </c>
    </row>
    <row r="41" spans="1:10" x14ac:dyDescent="0.35">
      <c r="H41" s="31" t="s">
        <v>13</v>
      </c>
      <c r="I41" s="9">
        <v>2000</v>
      </c>
      <c r="J41" s="9">
        <v>2000</v>
      </c>
    </row>
    <row r="42" spans="1:10" x14ac:dyDescent="0.35">
      <c r="H42" s="31" t="s">
        <v>31</v>
      </c>
      <c r="I42" s="9">
        <v>15916.666666666666</v>
      </c>
      <c r="J42" s="9">
        <v>15916.666666666666</v>
      </c>
    </row>
    <row r="43" spans="1:10" x14ac:dyDescent="0.35">
      <c r="H43" s="31" t="s">
        <v>41</v>
      </c>
      <c r="I43" s="9">
        <v>5160</v>
      </c>
      <c r="J43" s="9">
        <v>5160</v>
      </c>
    </row>
    <row r="44" spans="1:10" x14ac:dyDescent="0.35">
      <c r="H44" s="31" t="s">
        <v>22</v>
      </c>
      <c r="I44" s="9">
        <v>3120</v>
      </c>
      <c r="J44" s="9">
        <v>3120</v>
      </c>
    </row>
    <row r="45" spans="1:10" x14ac:dyDescent="0.35">
      <c r="H45" s="11" t="s">
        <v>18</v>
      </c>
      <c r="I45" s="9">
        <v>25886.666666666668</v>
      </c>
      <c r="J45" s="9">
        <v>5177.3333333333339</v>
      </c>
    </row>
    <row r="46" spans="1:10" x14ac:dyDescent="0.35">
      <c r="H46" s="30" t="s">
        <v>131</v>
      </c>
      <c r="I46" s="9">
        <v>17213.333333333336</v>
      </c>
      <c r="J46" s="9">
        <v>5737.7777777777783</v>
      </c>
    </row>
    <row r="47" spans="1:10" x14ac:dyDescent="0.35">
      <c r="H47" s="31" t="s">
        <v>13</v>
      </c>
      <c r="I47" s="9">
        <v>2373.3333333333335</v>
      </c>
      <c r="J47" s="9">
        <v>2373.3333333333335</v>
      </c>
    </row>
    <row r="48" spans="1:10" x14ac:dyDescent="0.35">
      <c r="H48" s="31" t="s">
        <v>22</v>
      </c>
      <c r="I48" s="9">
        <v>14840</v>
      </c>
      <c r="J48" s="9">
        <v>7420</v>
      </c>
    </row>
    <row r="49" spans="8:10" x14ac:dyDescent="0.35">
      <c r="H49" s="30" t="s">
        <v>116</v>
      </c>
      <c r="I49" s="9">
        <v>8673.3333333333339</v>
      </c>
      <c r="J49" s="9">
        <v>4336.666666666667</v>
      </c>
    </row>
    <row r="50" spans="8:10" x14ac:dyDescent="0.35">
      <c r="H50" s="31" t="s">
        <v>13</v>
      </c>
      <c r="I50" s="9">
        <v>693.33333333333337</v>
      </c>
      <c r="J50" s="9">
        <v>693.33333333333337</v>
      </c>
    </row>
    <row r="51" spans="8:10" x14ac:dyDescent="0.35">
      <c r="H51" s="31" t="s">
        <v>41</v>
      </c>
      <c r="I51" s="9">
        <v>7980</v>
      </c>
      <c r="J51" s="9">
        <v>7980</v>
      </c>
    </row>
    <row r="52" spans="8:10" x14ac:dyDescent="0.35">
      <c r="H52" s="11" t="s">
        <v>114</v>
      </c>
      <c r="I52" s="9">
        <v>292289.99999999994</v>
      </c>
      <c r="J52" s="9">
        <v>8351.1428571428551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ADC49-F202-4D84-AD44-4ED2A297A759}">
  <dimension ref="C6:E55"/>
  <sheetViews>
    <sheetView workbookViewId="0">
      <selection activeCell="Q13" sqref="Q13"/>
    </sheetView>
  </sheetViews>
  <sheetFormatPr defaultRowHeight="14.5" x14ac:dyDescent="0.35"/>
  <cols>
    <col min="3" max="3" width="14.1796875" bestFit="1" customWidth="1"/>
    <col min="4" max="4" width="19.6328125" bestFit="1" customWidth="1"/>
    <col min="5" max="5" width="15.26953125" bestFit="1" customWidth="1"/>
  </cols>
  <sheetData>
    <row r="6" spans="3:5" x14ac:dyDescent="0.35">
      <c r="C6" s="10" t="s">
        <v>113</v>
      </c>
      <c r="D6" t="s">
        <v>129</v>
      </c>
      <c r="E6" t="s">
        <v>132</v>
      </c>
    </row>
    <row r="7" spans="3:5" x14ac:dyDescent="0.35">
      <c r="C7" s="11" t="s">
        <v>14</v>
      </c>
      <c r="D7" s="9">
        <v>58863.333333333328</v>
      </c>
      <c r="E7" s="9">
        <v>11772.666666666666</v>
      </c>
    </row>
    <row r="8" spans="3:5" x14ac:dyDescent="0.35">
      <c r="C8" s="30" t="s">
        <v>131</v>
      </c>
      <c r="D8" s="9">
        <v>29400</v>
      </c>
      <c r="E8" s="9">
        <v>14700</v>
      </c>
    </row>
    <row r="9" spans="3:5" x14ac:dyDescent="0.35">
      <c r="C9" s="31" t="s">
        <v>41</v>
      </c>
      <c r="D9" s="9">
        <v>17760</v>
      </c>
      <c r="E9" s="9">
        <v>17760</v>
      </c>
    </row>
    <row r="10" spans="3:5" x14ac:dyDescent="0.35">
      <c r="C10" s="31" t="s">
        <v>22</v>
      </c>
      <c r="D10" s="9">
        <v>11640</v>
      </c>
      <c r="E10" s="9">
        <v>11640</v>
      </c>
    </row>
    <row r="11" spans="3:5" x14ac:dyDescent="0.35">
      <c r="C11" s="30" t="s">
        <v>116</v>
      </c>
      <c r="D11" s="9">
        <v>29463.333333333336</v>
      </c>
      <c r="E11" s="9">
        <v>9821.1111111111113</v>
      </c>
    </row>
    <row r="12" spans="3:5" x14ac:dyDescent="0.35">
      <c r="C12" s="31" t="s">
        <v>13</v>
      </c>
      <c r="D12" s="9">
        <v>5066.6666666666661</v>
      </c>
      <c r="E12" s="9">
        <v>5066.6666666666661</v>
      </c>
    </row>
    <row r="13" spans="3:5" x14ac:dyDescent="0.35">
      <c r="C13" s="31" t="s">
        <v>31</v>
      </c>
      <c r="D13" s="9">
        <v>17916.666666666668</v>
      </c>
      <c r="E13" s="9">
        <v>17916.666666666668</v>
      </c>
    </row>
    <row r="14" spans="3:5" x14ac:dyDescent="0.35">
      <c r="C14" s="31" t="s">
        <v>22</v>
      </c>
      <c r="D14" s="9">
        <v>6480</v>
      </c>
      <c r="E14" s="9">
        <v>6480</v>
      </c>
    </row>
    <row r="15" spans="3:5" x14ac:dyDescent="0.35">
      <c r="C15" s="11" t="s">
        <v>67</v>
      </c>
      <c r="D15" s="9">
        <v>52720</v>
      </c>
      <c r="E15" s="9">
        <v>13180</v>
      </c>
    </row>
    <row r="16" spans="3:5" x14ac:dyDescent="0.35">
      <c r="C16" s="30" t="s">
        <v>131</v>
      </c>
      <c r="D16" s="9">
        <v>37573.333333333336</v>
      </c>
      <c r="E16" s="9">
        <v>12524.444444444445</v>
      </c>
    </row>
    <row r="17" spans="3:5" x14ac:dyDescent="0.35">
      <c r="C17" s="31" t="s">
        <v>31</v>
      </c>
      <c r="D17" s="9">
        <v>36333.333333333336</v>
      </c>
      <c r="E17" s="9">
        <v>36333.333333333336</v>
      </c>
    </row>
    <row r="18" spans="3:5" x14ac:dyDescent="0.35">
      <c r="C18" s="31" t="s">
        <v>41</v>
      </c>
      <c r="D18" s="9">
        <v>240</v>
      </c>
      <c r="E18" s="9">
        <v>240</v>
      </c>
    </row>
    <row r="19" spans="3:5" x14ac:dyDescent="0.35">
      <c r="C19" s="31" t="s">
        <v>22</v>
      </c>
      <c r="D19" s="9">
        <v>1000</v>
      </c>
      <c r="E19" s="9">
        <v>1000</v>
      </c>
    </row>
    <row r="20" spans="3:5" x14ac:dyDescent="0.35">
      <c r="C20" s="30" t="s">
        <v>116</v>
      </c>
      <c r="D20" s="9">
        <v>15146.666666666666</v>
      </c>
      <c r="E20" s="9">
        <v>15146.666666666666</v>
      </c>
    </row>
    <row r="21" spans="3:5" x14ac:dyDescent="0.35">
      <c r="C21" s="31" t="s">
        <v>13</v>
      </c>
      <c r="D21" s="9">
        <v>15146.666666666666</v>
      </c>
      <c r="E21" s="9">
        <v>15146.666666666666</v>
      </c>
    </row>
    <row r="22" spans="3:5" x14ac:dyDescent="0.35">
      <c r="C22" s="11" t="s">
        <v>23</v>
      </c>
      <c r="D22" s="9">
        <v>31863.333333333332</v>
      </c>
      <c r="E22" s="9">
        <v>6372.6666666666661</v>
      </c>
    </row>
    <row r="23" spans="3:5" x14ac:dyDescent="0.35">
      <c r="C23" s="30" t="s">
        <v>131</v>
      </c>
      <c r="D23" s="9">
        <v>20343.333333333332</v>
      </c>
      <c r="E23" s="9">
        <v>6781.1111111111104</v>
      </c>
    </row>
    <row r="24" spans="3:5" x14ac:dyDescent="0.35">
      <c r="C24" s="31" t="s">
        <v>13</v>
      </c>
      <c r="D24" s="9">
        <v>5520</v>
      </c>
      <c r="E24" s="9">
        <v>5520</v>
      </c>
    </row>
    <row r="25" spans="3:5" x14ac:dyDescent="0.35">
      <c r="C25" s="31" t="s">
        <v>31</v>
      </c>
      <c r="D25" s="9">
        <v>583.33333333333337</v>
      </c>
      <c r="E25" s="9">
        <v>583.33333333333337</v>
      </c>
    </row>
    <row r="26" spans="3:5" x14ac:dyDescent="0.35">
      <c r="C26" s="31" t="s">
        <v>22</v>
      </c>
      <c r="D26" s="9">
        <v>14240</v>
      </c>
      <c r="E26" s="9">
        <v>14240</v>
      </c>
    </row>
    <row r="27" spans="3:5" x14ac:dyDescent="0.35">
      <c r="C27" s="30" t="s">
        <v>116</v>
      </c>
      <c r="D27" s="9">
        <v>11520</v>
      </c>
      <c r="E27" s="9">
        <v>5760</v>
      </c>
    </row>
    <row r="28" spans="3:5" x14ac:dyDescent="0.35">
      <c r="C28" s="31" t="s">
        <v>22</v>
      </c>
      <c r="D28" s="9">
        <v>11520</v>
      </c>
      <c r="E28" s="9">
        <v>5760</v>
      </c>
    </row>
    <row r="29" spans="3:5" x14ac:dyDescent="0.35">
      <c r="C29" s="11" t="s">
        <v>42</v>
      </c>
      <c r="D29" s="9">
        <v>37786.666666666664</v>
      </c>
      <c r="E29" s="9">
        <v>6297.7777777777774</v>
      </c>
    </row>
    <row r="30" spans="3:5" x14ac:dyDescent="0.35">
      <c r="C30" s="30" t="s">
        <v>131</v>
      </c>
      <c r="D30" s="9">
        <v>14380</v>
      </c>
      <c r="E30" s="9">
        <v>4793.333333333333</v>
      </c>
    </row>
    <row r="31" spans="3:5" x14ac:dyDescent="0.35">
      <c r="C31" s="31" t="s">
        <v>31</v>
      </c>
      <c r="D31" s="9">
        <v>2500</v>
      </c>
      <c r="E31" s="9">
        <v>2500</v>
      </c>
    </row>
    <row r="32" spans="3:5" x14ac:dyDescent="0.35">
      <c r="C32" s="31" t="s">
        <v>41</v>
      </c>
      <c r="D32" s="9">
        <v>11880</v>
      </c>
      <c r="E32" s="9">
        <v>5940</v>
      </c>
    </row>
    <row r="33" spans="3:5" x14ac:dyDescent="0.35">
      <c r="C33" s="30" t="s">
        <v>116</v>
      </c>
      <c r="D33" s="9">
        <v>23406.666666666668</v>
      </c>
      <c r="E33" s="9">
        <v>7802.2222222222226</v>
      </c>
    </row>
    <row r="34" spans="3:5" x14ac:dyDescent="0.35">
      <c r="C34" s="31" t="s">
        <v>13</v>
      </c>
      <c r="D34" s="9">
        <v>346.66666666666669</v>
      </c>
      <c r="E34" s="9">
        <v>346.66666666666669</v>
      </c>
    </row>
    <row r="35" spans="3:5" x14ac:dyDescent="0.35">
      <c r="C35" s="31" t="s">
        <v>31</v>
      </c>
      <c r="D35" s="9">
        <v>6500</v>
      </c>
      <c r="E35" s="9">
        <v>6500</v>
      </c>
    </row>
    <row r="36" spans="3:5" x14ac:dyDescent="0.35">
      <c r="C36" s="31" t="s">
        <v>22</v>
      </c>
      <c r="D36" s="9">
        <v>16560</v>
      </c>
      <c r="E36" s="9">
        <v>16560</v>
      </c>
    </row>
    <row r="37" spans="3:5" x14ac:dyDescent="0.35">
      <c r="C37" s="11" t="s">
        <v>35</v>
      </c>
      <c r="D37" s="9">
        <v>85170.000000000015</v>
      </c>
      <c r="E37" s="9">
        <v>8517.0000000000018</v>
      </c>
    </row>
    <row r="38" spans="3:5" x14ac:dyDescent="0.35">
      <c r="C38" s="30" t="s">
        <v>131</v>
      </c>
      <c r="D38" s="9">
        <v>58973.333333333343</v>
      </c>
      <c r="E38" s="9">
        <v>9828.8888888888905</v>
      </c>
    </row>
    <row r="39" spans="3:5" x14ac:dyDescent="0.35">
      <c r="C39" s="31" t="s">
        <v>13</v>
      </c>
      <c r="D39" s="9">
        <v>9360.0000000000018</v>
      </c>
      <c r="E39" s="9">
        <v>4680.0000000000009</v>
      </c>
    </row>
    <row r="40" spans="3:5" x14ac:dyDescent="0.35">
      <c r="C40" s="31" t="s">
        <v>31</v>
      </c>
      <c r="D40" s="9">
        <v>2333.3333333333335</v>
      </c>
      <c r="E40" s="9">
        <v>2333.3333333333335</v>
      </c>
    </row>
    <row r="41" spans="3:5" x14ac:dyDescent="0.35">
      <c r="C41" s="31" t="s">
        <v>41</v>
      </c>
      <c r="D41" s="9">
        <v>31680.000000000004</v>
      </c>
      <c r="E41" s="9">
        <v>31680.000000000004</v>
      </c>
    </row>
    <row r="42" spans="3:5" x14ac:dyDescent="0.35">
      <c r="C42" s="31" t="s">
        <v>22</v>
      </c>
      <c r="D42" s="9">
        <v>15600</v>
      </c>
      <c r="E42" s="9">
        <v>7800</v>
      </c>
    </row>
    <row r="43" spans="3:5" x14ac:dyDescent="0.35">
      <c r="C43" s="30" t="s">
        <v>116</v>
      </c>
      <c r="D43" s="9">
        <v>26196.666666666664</v>
      </c>
      <c r="E43" s="9">
        <v>6549.1666666666661</v>
      </c>
    </row>
    <row r="44" spans="3:5" x14ac:dyDescent="0.35">
      <c r="C44" s="31" t="s">
        <v>13</v>
      </c>
      <c r="D44" s="9">
        <v>2000</v>
      </c>
      <c r="E44" s="9">
        <v>2000</v>
      </c>
    </row>
    <row r="45" spans="3:5" x14ac:dyDescent="0.35">
      <c r="C45" s="31" t="s">
        <v>31</v>
      </c>
      <c r="D45" s="9">
        <v>15916.666666666666</v>
      </c>
      <c r="E45" s="9">
        <v>15916.666666666666</v>
      </c>
    </row>
    <row r="46" spans="3:5" x14ac:dyDescent="0.35">
      <c r="C46" s="31" t="s">
        <v>41</v>
      </c>
      <c r="D46" s="9">
        <v>5160</v>
      </c>
      <c r="E46" s="9">
        <v>5160</v>
      </c>
    </row>
    <row r="47" spans="3:5" x14ac:dyDescent="0.35">
      <c r="C47" s="31" t="s">
        <v>22</v>
      </c>
      <c r="D47" s="9">
        <v>3120</v>
      </c>
      <c r="E47" s="9">
        <v>3120</v>
      </c>
    </row>
    <row r="48" spans="3:5" x14ac:dyDescent="0.35">
      <c r="C48" s="11" t="s">
        <v>18</v>
      </c>
      <c r="D48" s="9">
        <v>25886.666666666668</v>
      </c>
      <c r="E48" s="9">
        <v>5177.3333333333339</v>
      </c>
    </row>
    <row r="49" spans="3:5" x14ac:dyDescent="0.35">
      <c r="C49" s="30" t="s">
        <v>131</v>
      </c>
      <c r="D49" s="9">
        <v>17213.333333333336</v>
      </c>
      <c r="E49" s="9">
        <v>5737.7777777777783</v>
      </c>
    </row>
    <row r="50" spans="3:5" x14ac:dyDescent="0.35">
      <c r="C50" s="31" t="s">
        <v>13</v>
      </c>
      <c r="D50" s="9">
        <v>2373.3333333333335</v>
      </c>
      <c r="E50" s="9">
        <v>2373.3333333333335</v>
      </c>
    </row>
    <row r="51" spans="3:5" x14ac:dyDescent="0.35">
      <c r="C51" s="31" t="s">
        <v>22</v>
      </c>
      <c r="D51" s="9">
        <v>14840</v>
      </c>
      <c r="E51" s="9">
        <v>7420</v>
      </c>
    </row>
    <row r="52" spans="3:5" x14ac:dyDescent="0.35">
      <c r="C52" s="30" t="s">
        <v>116</v>
      </c>
      <c r="D52" s="9">
        <v>8673.3333333333339</v>
      </c>
      <c r="E52" s="9">
        <v>4336.666666666667</v>
      </c>
    </row>
    <row r="53" spans="3:5" x14ac:dyDescent="0.35">
      <c r="C53" s="31" t="s">
        <v>13</v>
      </c>
      <c r="D53" s="9">
        <v>693.33333333333337</v>
      </c>
      <c r="E53" s="9">
        <v>693.33333333333337</v>
      </c>
    </row>
    <row r="54" spans="3:5" x14ac:dyDescent="0.35">
      <c r="C54" s="31" t="s">
        <v>41</v>
      </c>
      <c r="D54" s="9">
        <v>7980</v>
      </c>
      <c r="E54" s="9">
        <v>7980</v>
      </c>
    </row>
    <row r="55" spans="3:5" x14ac:dyDescent="0.35">
      <c r="C55" s="11" t="s">
        <v>114</v>
      </c>
      <c r="D55" s="9">
        <v>292289.99999999994</v>
      </c>
      <c r="E55" s="9">
        <v>8351.1428571428551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74324-2743-4C8A-8316-E128D3FFCCCE}">
  <dimension ref="A1:M36"/>
  <sheetViews>
    <sheetView tabSelected="1" topLeftCell="F6" workbookViewId="0">
      <selection activeCell="P17" sqref="P17"/>
    </sheetView>
  </sheetViews>
  <sheetFormatPr defaultRowHeight="14.5" x14ac:dyDescent="0.35"/>
  <cols>
    <col min="1" max="1" width="10.81640625" style="18" bestFit="1" customWidth="1"/>
    <col min="2" max="2" width="11" customWidth="1"/>
    <col min="4" max="4" width="10.7265625" customWidth="1"/>
    <col min="5" max="5" width="12.26953125" customWidth="1"/>
    <col min="6" max="6" width="10.7265625" customWidth="1"/>
    <col min="7" max="7" width="8.7265625" style="18"/>
    <col min="9" max="9" width="17.54296875" bestFit="1" customWidth="1"/>
    <col min="10" max="10" width="15.26953125" bestFit="1" customWidth="1"/>
    <col min="11" max="11" width="6.81640625" bestFit="1" customWidth="1"/>
    <col min="12" max="12" width="5.36328125" bestFit="1" customWidth="1"/>
    <col min="13" max="13" width="10.7265625" bestFit="1" customWidth="1"/>
  </cols>
  <sheetData>
    <row r="1" spans="1:13" ht="29.5" thickBot="1" x14ac:dyDescent="0.4">
      <c r="A1" s="18" t="s">
        <v>124</v>
      </c>
      <c r="B1" s="3" t="s">
        <v>8</v>
      </c>
      <c r="C1" s="3" t="s">
        <v>2</v>
      </c>
      <c r="D1" s="2" t="s">
        <v>0</v>
      </c>
      <c r="E1" s="3" t="s">
        <v>3</v>
      </c>
      <c r="F1" s="2" t="s">
        <v>135</v>
      </c>
      <c r="G1" s="3" t="s">
        <v>1</v>
      </c>
    </row>
    <row r="2" spans="1:13" ht="17" customHeight="1" thickBot="1" x14ac:dyDescent="0.4">
      <c r="A2" s="18">
        <f>SUBSTITUTE(sheet1!A2,"M","")+0</f>
        <v>1</v>
      </c>
      <c r="B2" s="5" t="s">
        <v>14</v>
      </c>
      <c r="C2" s="5" t="s">
        <v>12</v>
      </c>
      <c r="D2" s="5" t="s">
        <v>11</v>
      </c>
      <c r="E2" s="5" t="s">
        <v>13</v>
      </c>
      <c r="F2" s="5" t="str">
        <f>IF(G2&lt;=30,"youth",IF(G2&lt;=45,"Adult","seniors"))</f>
        <v>seniors</v>
      </c>
      <c r="G2" s="15">
        <v>59</v>
      </c>
    </row>
    <row r="3" spans="1:13" ht="18" customHeight="1" thickBot="1" x14ac:dyDescent="0.4">
      <c r="A3" s="18">
        <f>SUBSTITUTE(sheet1!A3,"M","")+0</f>
        <v>2</v>
      </c>
      <c r="B3" s="5" t="s">
        <v>18</v>
      </c>
      <c r="C3" s="5" t="s">
        <v>12</v>
      </c>
      <c r="D3" s="5" t="s">
        <v>17</v>
      </c>
      <c r="E3" s="5" t="s">
        <v>13</v>
      </c>
      <c r="F3" s="5" t="str">
        <f>IF(G3&lt;=30,"youth",IF(G3&lt;=45,"Adult","seniors"))</f>
        <v>youth</v>
      </c>
      <c r="G3" s="15">
        <v>27</v>
      </c>
      <c r="I3" s="10" t="s">
        <v>134</v>
      </c>
      <c r="J3" s="10" t="s">
        <v>130</v>
      </c>
      <c r="M3" t="s">
        <v>140</v>
      </c>
    </row>
    <row r="4" spans="1:13" ht="29.5" thickBot="1" x14ac:dyDescent="0.4">
      <c r="A4" s="18">
        <f>SUBSTITUTE(sheet1!A4,"M","")+0</f>
        <v>3</v>
      </c>
      <c r="B4" s="5" t="s">
        <v>23</v>
      </c>
      <c r="C4" s="5" t="s">
        <v>12</v>
      </c>
      <c r="D4" s="5" t="s">
        <v>21</v>
      </c>
      <c r="E4" s="5" t="s">
        <v>22</v>
      </c>
      <c r="F4" s="5" t="str">
        <f t="shared" ref="F4:F36" si="0">IF(G4&lt;=30,"youth",IF(G4&lt;=45,"Adult","seniors"))</f>
        <v>youth</v>
      </c>
      <c r="G4" s="15">
        <v>24</v>
      </c>
      <c r="I4" s="10" t="s">
        <v>113</v>
      </c>
      <c r="J4" t="s">
        <v>12</v>
      </c>
      <c r="K4" t="s">
        <v>27</v>
      </c>
    </row>
    <row r="5" spans="1:13" ht="29.5" thickBot="1" x14ac:dyDescent="0.4">
      <c r="A5" s="18">
        <f>SUBSTITUTE(sheet1!A5,"M","")+0</f>
        <v>4</v>
      </c>
      <c r="B5" s="5" t="s">
        <v>23</v>
      </c>
      <c r="C5" s="5" t="s">
        <v>27</v>
      </c>
      <c r="D5" s="5" t="s">
        <v>26</v>
      </c>
      <c r="E5" s="5" t="s">
        <v>22</v>
      </c>
      <c r="F5" s="5" t="str">
        <f t="shared" si="0"/>
        <v>Adult</v>
      </c>
      <c r="G5" s="15">
        <v>31</v>
      </c>
      <c r="I5" s="11" t="s">
        <v>14</v>
      </c>
      <c r="J5" s="32">
        <v>6</v>
      </c>
      <c r="K5" s="32">
        <v>57</v>
      </c>
    </row>
    <row r="6" spans="1:13" ht="29.5" thickBot="1" x14ac:dyDescent="0.4">
      <c r="A6" s="18">
        <f>SUBSTITUTE(sheet1!A6,"M","")+0</f>
        <v>5</v>
      </c>
      <c r="B6" s="5" t="s">
        <v>14</v>
      </c>
      <c r="C6" s="5" t="s">
        <v>12</v>
      </c>
      <c r="D6" s="5" t="s">
        <v>30</v>
      </c>
      <c r="E6" s="5" t="s">
        <v>31</v>
      </c>
      <c r="F6" s="5" t="str">
        <f t="shared" si="0"/>
        <v>youth</v>
      </c>
      <c r="G6" s="15">
        <v>19</v>
      </c>
      <c r="I6" s="11" t="s">
        <v>67</v>
      </c>
      <c r="J6" s="32">
        <v>23</v>
      </c>
      <c r="K6" s="32">
        <v>75</v>
      </c>
    </row>
    <row r="7" spans="1:13" ht="29.5" thickBot="1" x14ac:dyDescent="0.4">
      <c r="A7" s="18">
        <f>SUBSTITUTE(sheet1!A7,"M","")+0</f>
        <v>6</v>
      </c>
      <c r="B7" s="5" t="s">
        <v>35</v>
      </c>
      <c r="C7" s="5" t="s">
        <v>12</v>
      </c>
      <c r="D7" s="5" t="s">
        <v>34</v>
      </c>
      <c r="E7" s="5" t="s">
        <v>13</v>
      </c>
      <c r="F7" s="5" t="str">
        <f t="shared" si="0"/>
        <v>Adult</v>
      </c>
      <c r="G7" s="15">
        <v>40</v>
      </c>
      <c r="I7" s="11" t="s">
        <v>23</v>
      </c>
      <c r="J7" s="32">
        <v>20</v>
      </c>
      <c r="K7" s="32">
        <v>48</v>
      </c>
    </row>
    <row r="8" spans="1:13" ht="15" thickBot="1" x14ac:dyDescent="0.4">
      <c r="A8" s="18">
        <f>SUBSTITUTE(sheet1!A8,"M","")+0</f>
        <v>7</v>
      </c>
      <c r="B8" s="5" t="s">
        <v>18</v>
      </c>
      <c r="C8" s="5" t="s">
        <v>27</v>
      </c>
      <c r="D8" s="5" t="s">
        <v>38</v>
      </c>
      <c r="E8" s="5" t="s">
        <v>13</v>
      </c>
      <c r="F8" s="5" t="str">
        <f t="shared" si="0"/>
        <v>Adult</v>
      </c>
      <c r="G8" s="15">
        <v>41</v>
      </c>
      <c r="I8" s="11" t="s">
        <v>42</v>
      </c>
      <c r="J8" s="32">
        <v>45</v>
      </c>
      <c r="K8" s="32">
        <v>43</v>
      </c>
    </row>
    <row r="9" spans="1:13" ht="29.5" thickBot="1" x14ac:dyDescent="0.4">
      <c r="A9" s="18">
        <f>SUBSTITUTE(sheet1!A9,"M","")+0</f>
        <v>8</v>
      </c>
      <c r="B9" s="5" t="s">
        <v>42</v>
      </c>
      <c r="C9" s="5" t="s">
        <v>12</v>
      </c>
      <c r="D9" s="5" t="s">
        <v>40</v>
      </c>
      <c r="E9" s="5" t="s">
        <v>41</v>
      </c>
      <c r="F9" s="5" t="str">
        <f t="shared" si="0"/>
        <v>Adult</v>
      </c>
      <c r="G9" s="15">
        <v>43</v>
      </c>
      <c r="I9" s="11" t="s">
        <v>35</v>
      </c>
      <c r="J9" s="32">
        <v>167</v>
      </c>
      <c r="K9" s="32">
        <v>40</v>
      </c>
    </row>
    <row r="10" spans="1:13" ht="15" thickBot="1" x14ac:dyDescent="0.4">
      <c r="A10" s="18">
        <f>SUBSTITUTE(sheet1!A10,"M","")+0</f>
        <v>9</v>
      </c>
      <c r="B10" s="5" t="s">
        <v>42</v>
      </c>
      <c r="C10" s="5" t="s">
        <v>12</v>
      </c>
      <c r="D10" s="5" t="s">
        <v>44</v>
      </c>
      <c r="E10" s="5" t="s">
        <v>13</v>
      </c>
      <c r="F10" s="5" t="str">
        <f t="shared" si="0"/>
        <v>Adult</v>
      </c>
      <c r="G10" s="15">
        <v>42</v>
      </c>
      <c r="I10" s="11" t="s">
        <v>18</v>
      </c>
      <c r="J10" s="32">
        <v>64</v>
      </c>
      <c r="K10" s="32">
        <v>42</v>
      </c>
    </row>
    <row r="11" spans="1:13" ht="29.5" thickBot="1" x14ac:dyDescent="0.4">
      <c r="A11" s="18">
        <f>SUBSTITUTE(sheet1!A11,"M","")+0</f>
        <v>10</v>
      </c>
      <c r="B11" s="5" t="s">
        <v>35</v>
      </c>
      <c r="C11" s="5" t="s">
        <v>12</v>
      </c>
      <c r="D11" s="5" t="s">
        <v>47</v>
      </c>
      <c r="E11" s="5" t="s">
        <v>22</v>
      </c>
      <c r="F11" s="5" t="str">
        <f t="shared" si="0"/>
        <v>Adult</v>
      </c>
      <c r="G11" s="15">
        <v>37</v>
      </c>
      <c r="I11" s="11" t="s">
        <v>114</v>
      </c>
      <c r="J11" s="32">
        <v>325</v>
      </c>
      <c r="K11" s="32">
        <v>305</v>
      </c>
    </row>
    <row r="12" spans="1:13" ht="29.5" thickBot="1" x14ac:dyDescent="0.4">
      <c r="A12" s="18">
        <f>SUBSTITUTE(sheet1!A12,"M","")+0</f>
        <v>11</v>
      </c>
      <c r="B12" s="5" t="s">
        <v>14</v>
      </c>
      <c r="C12" s="5" t="s">
        <v>27</v>
      </c>
      <c r="D12" s="5" t="s">
        <v>50</v>
      </c>
      <c r="E12" s="5" t="s">
        <v>22</v>
      </c>
      <c r="F12" s="5" t="str">
        <f t="shared" si="0"/>
        <v>seniors</v>
      </c>
      <c r="G12" s="15">
        <v>48</v>
      </c>
    </row>
    <row r="13" spans="1:13" ht="29.5" thickBot="1" x14ac:dyDescent="0.4">
      <c r="A13" s="18">
        <f>SUBSTITUTE(sheet1!A13,"M","")+0</f>
        <v>12</v>
      </c>
      <c r="B13" s="5" t="s">
        <v>42</v>
      </c>
      <c r="C13" s="5" t="s">
        <v>12</v>
      </c>
      <c r="D13" s="5" t="s">
        <v>53</v>
      </c>
      <c r="E13" s="5" t="s">
        <v>22</v>
      </c>
      <c r="F13" s="5" t="str">
        <f t="shared" si="0"/>
        <v>Adult</v>
      </c>
      <c r="G13" s="15">
        <v>36</v>
      </c>
    </row>
    <row r="14" spans="1:13" ht="29.5" thickBot="1" x14ac:dyDescent="0.4">
      <c r="A14" s="18">
        <f>SUBSTITUTE(sheet1!A14,"M","")+0</f>
        <v>13</v>
      </c>
      <c r="B14" s="5" t="s">
        <v>42</v>
      </c>
      <c r="C14" s="5" t="s">
        <v>27</v>
      </c>
      <c r="D14" s="5" t="s">
        <v>56</v>
      </c>
      <c r="E14" s="5" t="s">
        <v>41</v>
      </c>
      <c r="F14" s="5" t="str">
        <f t="shared" si="0"/>
        <v>seniors</v>
      </c>
      <c r="G14" s="15">
        <v>48</v>
      </c>
      <c r="I14" s="10" t="s">
        <v>139</v>
      </c>
      <c r="J14" s="10" t="s">
        <v>130</v>
      </c>
      <c r="M14" t="s">
        <v>141</v>
      </c>
    </row>
    <row r="15" spans="1:13" ht="15" thickBot="1" x14ac:dyDescent="0.4">
      <c r="A15" s="18">
        <f>SUBSTITUTE(sheet1!A15,"M","")+0</f>
        <v>14</v>
      </c>
      <c r="B15" s="5" t="s">
        <v>35</v>
      </c>
      <c r="C15" s="5" t="s">
        <v>12</v>
      </c>
      <c r="D15" s="5" t="s">
        <v>58</v>
      </c>
      <c r="E15" s="5" t="s">
        <v>22</v>
      </c>
      <c r="F15" s="5" t="str">
        <f t="shared" si="0"/>
        <v>Adult</v>
      </c>
      <c r="G15" s="15">
        <v>39</v>
      </c>
      <c r="I15" s="10" t="s">
        <v>113</v>
      </c>
      <c r="J15" t="s">
        <v>138</v>
      </c>
      <c r="K15" t="s">
        <v>137</v>
      </c>
      <c r="L15" t="s">
        <v>136</v>
      </c>
    </row>
    <row r="16" spans="1:13" ht="15" thickBot="1" x14ac:dyDescent="0.4">
      <c r="A16" s="18">
        <f>SUBSTITUTE(sheet1!A16,"M","")+0</f>
        <v>15</v>
      </c>
      <c r="B16" s="7" t="s">
        <v>23</v>
      </c>
      <c r="C16" s="5" t="s">
        <v>27</v>
      </c>
      <c r="D16" s="5" t="s">
        <v>60</v>
      </c>
      <c r="E16" s="5" t="s">
        <v>13</v>
      </c>
      <c r="F16" s="5" t="str">
        <f t="shared" si="0"/>
        <v>Adult</v>
      </c>
      <c r="G16" s="15">
        <v>44</v>
      </c>
      <c r="I16" s="11" t="s">
        <v>13</v>
      </c>
      <c r="J16" s="32">
        <v>3</v>
      </c>
      <c r="K16" s="32">
        <v>2</v>
      </c>
      <c r="L16" s="32">
        <v>4</v>
      </c>
    </row>
    <row r="17" spans="1:12" ht="29.5" thickBot="1" x14ac:dyDescent="0.4">
      <c r="A17" s="18">
        <f>SUBSTITUTE(sheet1!A17,"M","")+0</f>
        <v>16</v>
      </c>
      <c r="B17" s="5" t="s">
        <v>42</v>
      </c>
      <c r="C17" s="5" t="s">
        <v>12</v>
      </c>
      <c r="D17" s="5" t="s">
        <v>62</v>
      </c>
      <c r="E17" s="5" t="s">
        <v>31</v>
      </c>
      <c r="F17" s="5" t="str">
        <f t="shared" si="0"/>
        <v>Adult</v>
      </c>
      <c r="G17" s="15">
        <v>39</v>
      </c>
      <c r="I17" s="11" t="s">
        <v>31</v>
      </c>
      <c r="J17" s="32">
        <v>4</v>
      </c>
      <c r="K17" s="32">
        <v>1</v>
      </c>
      <c r="L17" s="32">
        <v>2</v>
      </c>
    </row>
    <row r="18" spans="1:12" ht="15" thickBot="1" x14ac:dyDescent="0.4">
      <c r="A18" s="18">
        <f>SUBSTITUTE(sheet1!A18,"M","")+0</f>
        <v>17</v>
      </c>
      <c r="B18" s="7" t="s">
        <v>23</v>
      </c>
      <c r="C18" s="5" t="s">
        <v>12</v>
      </c>
      <c r="D18" s="5" t="s">
        <v>64</v>
      </c>
      <c r="E18" s="5" t="s">
        <v>22</v>
      </c>
      <c r="F18" s="5" t="str">
        <f t="shared" si="0"/>
        <v>Adult</v>
      </c>
      <c r="G18" s="15">
        <v>35</v>
      </c>
      <c r="I18" s="11" t="s">
        <v>41</v>
      </c>
      <c r="J18" s="32">
        <v>2</v>
      </c>
      <c r="K18" s="32">
        <v>4</v>
      </c>
      <c r="L18" s="32">
        <v>1</v>
      </c>
    </row>
    <row r="19" spans="1:12" ht="29.5" thickBot="1" x14ac:dyDescent="0.4">
      <c r="A19" s="18">
        <f>SUBSTITUTE(sheet1!A19,"M","")+0</f>
        <v>18</v>
      </c>
      <c r="B19" s="5" t="s">
        <v>67</v>
      </c>
      <c r="C19" s="5" t="s">
        <v>27</v>
      </c>
      <c r="D19" s="5" t="s">
        <v>66</v>
      </c>
      <c r="E19" s="5" t="s">
        <v>31</v>
      </c>
      <c r="F19" s="5" t="str">
        <f t="shared" si="0"/>
        <v>seniors</v>
      </c>
      <c r="G19" s="15">
        <v>56</v>
      </c>
      <c r="I19" s="11" t="s">
        <v>22</v>
      </c>
      <c r="J19" s="32">
        <v>4</v>
      </c>
      <c r="K19" s="32">
        <v>2</v>
      </c>
      <c r="L19" s="32">
        <v>6</v>
      </c>
    </row>
    <row r="20" spans="1:12" ht="15" thickBot="1" x14ac:dyDescent="0.4">
      <c r="A20" s="18">
        <f>SUBSTITUTE(sheet1!A20,"M","")+0</f>
        <v>19</v>
      </c>
      <c r="B20" s="5" t="s">
        <v>35</v>
      </c>
      <c r="C20" s="5" t="s">
        <v>27</v>
      </c>
      <c r="D20" s="5" t="s">
        <v>69</v>
      </c>
      <c r="E20" s="5" t="s">
        <v>13</v>
      </c>
      <c r="F20" s="5" t="str">
        <f t="shared" si="0"/>
        <v>youth</v>
      </c>
      <c r="G20" s="15">
        <v>27</v>
      </c>
      <c r="I20" s="11" t="s">
        <v>114</v>
      </c>
      <c r="J20" s="32">
        <v>13</v>
      </c>
      <c r="K20" s="32">
        <v>9</v>
      </c>
      <c r="L20" s="32">
        <v>13</v>
      </c>
    </row>
    <row r="21" spans="1:12" ht="29.5" thickBot="1" x14ac:dyDescent="0.4">
      <c r="A21" s="18">
        <f>SUBSTITUTE(sheet1!A21,"M","")+0</f>
        <v>20</v>
      </c>
      <c r="B21" s="5" t="s">
        <v>35</v>
      </c>
      <c r="C21" s="5" t="s">
        <v>12</v>
      </c>
      <c r="D21" s="5" t="s">
        <v>71</v>
      </c>
      <c r="E21" s="5" t="s">
        <v>31</v>
      </c>
      <c r="F21" s="5" t="str">
        <f t="shared" si="0"/>
        <v>youth</v>
      </c>
      <c r="G21" s="15">
        <v>28</v>
      </c>
    </row>
    <row r="22" spans="1:12" ht="29.5" thickBot="1" x14ac:dyDescent="0.4">
      <c r="A22" s="18">
        <f>SUBSTITUTE(sheet1!A22,"M","")+0</f>
        <v>21</v>
      </c>
      <c r="B22" s="5" t="s">
        <v>35</v>
      </c>
      <c r="C22" s="5" t="s">
        <v>27</v>
      </c>
      <c r="D22" s="5" t="s">
        <v>74</v>
      </c>
      <c r="E22" s="5" t="s">
        <v>41</v>
      </c>
      <c r="F22" s="5" t="str">
        <f t="shared" si="0"/>
        <v>seniors</v>
      </c>
      <c r="G22" s="15">
        <v>57</v>
      </c>
    </row>
    <row r="23" spans="1:12" ht="29.5" thickBot="1" x14ac:dyDescent="0.4">
      <c r="A23" s="18">
        <f>SUBSTITUTE(sheet1!A23,"M","")+0</f>
        <v>22</v>
      </c>
      <c r="B23" s="7" t="s">
        <v>14</v>
      </c>
      <c r="C23" s="5" t="s">
        <v>27</v>
      </c>
      <c r="D23" s="5" t="s">
        <v>76</v>
      </c>
      <c r="E23" s="5" t="s">
        <v>41</v>
      </c>
      <c r="F23" s="5" t="str">
        <f t="shared" si="0"/>
        <v>youth</v>
      </c>
      <c r="G23" s="15">
        <v>26</v>
      </c>
    </row>
    <row r="24" spans="1:12" ht="15" thickBot="1" x14ac:dyDescent="0.4">
      <c r="A24" s="18">
        <f>SUBSTITUTE(sheet1!A24,"M","")+0</f>
        <v>23</v>
      </c>
      <c r="B24" s="5" t="s">
        <v>67</v>
      </c>
      <c r="C24" s="5" t="s">
        <v>12</v>
      </c>
      <c r="D24" s="5" t="s">
        <v>78</v>
      </c>
      <c r="E24" s="5" t="s">
        <v>41</v>
      </c>
      <c r="F24" s="5" t="str">
        <f t="shared" si="0"/>
        <v>seniors</v>
      </c>
      <c r="G24" s="15">
        <v>48</v>
      </c>
    </row>
    <row r="25" spans="1:12" ht="15" thickBot="1" x14ac:dyDescent="0.4">
      <c r="A25" s="18">
        <f>SUBSTITUTE(sheet1!A25,"M","")+0</f>
        <v>24</v>
      </c>
      <c r="B25" s="7" t="s">
        <v>14</v>
      </c>
      <c r="C25" s="5" t="s">
        <v>27</v>
      </c>
      <c r="D25" s="5" t="s">
        <v>80</v>
      </c>
      <c r="E25" s="5" t="s">
        <v>22</v>
      </c>
      <c r="F25" s="5" t="str">
        <f t="shared" si="0"/>
        <v>youth</v>
      </c>
      <c r="G25" s="15">
        <v>25</v>
      </c>
    </row>
    <row r="26" spans="1:12" ht="15" thickBot="1" x14ac:dyDescent="0.4">
      <c r="A26" s="18">
        <f>SUBSTITUTE(sheet1!A26,"M","")+0</f>
        <v>25</v>
      </c>
      <c r="B26" s="5" t="s">
        <v>35</v>
      </c>
      <c r="C26" s="5" t="s">
        <v>12</v>
      </c>
      <c r="D26" s="5" t="s">
        <v>82</v>
      </c>
      <c r="E26" s="5" t="s">
        <v>41</v>
      </c>
      <c r="F26" s="5" t="str">
        <f t="shared" si="0"/>
        <v>seniors</v>
      </c>
      <c r="G26" s="15">
        <v>53</v>
      </c>
    </row>
    <row r="27" spans="1:12" ht="15" thickBot="1" x14ac:dyDescent="0.4">
      <c r="A27" s="18">
        <f>SUBSTITUTE(sheet1!A27,"M","")+0</f>
        <v>26</v>
      </c>
      <c r="B27" s="5" t="s">
        <v>67</v>
      </c>
      <c r="C27" s="5" t="s">
        <v>27</v>
      </c>
      <c r="D27" s="5" t="s">
        <v>85</v>
      </c>
      <c r="E27" s="5" t="s">
        <v>22</v>
      </c>
      <c r="F27" s="5" t="str">
        <f t="shared" si="0"/>
        <v>Adult</v>
      </c>
      <c r="G27" s="15">
        <v>42</v>
      </c>
    </row>
    <row r="28" spans="1:12" ht="29.5" thickBot="1" x14ac:dyDescent="0.4">
      <c r="A28" s="18">
        <f>SUBSTITUTE(sheet1!A28,"M","")+0</f>
        <v>27</v>
      </c>
      <c r="B28" s="5" t="s">
        <v>35</v>
      </c>
      <c r="C28" s="5" t="s">
        <v>12</v>
      </c>
      <c r="D28" s="5" t="s">
        <v>87</v>
      </c>
      <c r="E28" s="5" t="s">
        <v>31</v>
      </c>
      <c r="F28" s="5" t="str">
        <f t="shared" si="0"/>
        <v>youth</v>
      </c>
      <c r="G28" s="15">
        <v>24</v>
      </c>
    </row>
    <row r="29" spans="1:12" ht="29.5" thickBot="1" x14ac:dyDescent="0.4">
      <c r="A29" s="18">
        <f>SUBSTITUTE(sheet1!A29,"M","")+0</f>
        <v>28</v>
      </c>
      <c r="B29" s="5" t="s">
        <v>18</v>
      </c>
      <c r="C29" s="5" t="s">
        <v>12</v>
      </c>
      <c r="D29" s="5" t="s">
        <v>89</v>
      </c>
      <c r="E29" s="5" t="s">
        <v>22</v>
      </c>
      <c r="F29" s="5" t="str">
        <f t="shared" si="0"/>
        <v>seniors</v>
      </c>
      <c r="G29" s="15">
        <v>53</v>
      </c>
    </row>
    <row r="30" spans="1:12" ht="29.5" thickBot="1" x14ac:dyDescent="0.4">
      <c r="A30" s="18">
        <f>SUBSTITUTE(sheet1!A30,"M","")+0</f>
        <v>29</v>
      </c>
      <c r="B30" s="7" t="s">
        <v>23</v>
      </c>
      <c r="C30" s="5" t="s">
        <v>27</v>
      </c>
      <c r="D30" s="5" t="s">
        <v>91</v>
      </c>
      <c r="E30" s="5" t="s">
        <v>31</v>
      </c>
      <c r="F30" s="5" t="str">
        <f t="shared" si="0"/>
        <v>youth</v>
      </c>
      <c r="G30" s="15">
        <v>29</v>
      </c>
    </row>
    <row r="31" spans="1:12" ht="15" thickBot="1" x14ac:dyDescent="0.4">
      <c r="A31" s="18">
        <f>SUBSTITUTE(sheet1!A31,"M","")+0</f>
        <v>30</v>
      </c>
      <c r="B31" s="5" t="s">
        <v>42</v>
      </c>
      <c r="C31" s="5" t="s">
        <v>27</v>
      </c>
      <c r="D31" s="5" t="s">
        <v>93</v>
      </c>
      <c r="E31" s="5" t="s">
        <v>31</v>
      </c>
      <c r="F31" s="5" t="str">
        <f t="shared" si="0"/>
        <v>Adult</v>
      </c>
      <c r="G31" s="15">
        <v>31</v>
      </c>
    </row>
    <row r="32" spans="1:12" ht="15" thickBot="1" x14ac:dyDescent="0.4">
      <c r="A32" s="18">
        <f>SUBSTITUTE(sheet1!A32,"M","")+0</f>
        <v>31</v>
      </c>
      <c r="B32" s="5" t="s">
        <v>67</v>
      </c>
      <c r="C32" s="5" t="s">
        <v>27</v>
      </c>
      <c r="D32" s="5" t="s">
        <v>96</v>
      </c>
      <c r="E32" s="5" t="s">
        <v>13</v>
      </c>
      <c r="F32" s="5" t="str">
        <f t="shared" si="0"/>
        <v>seniors</v>
      </c>
      <c r="G32" s="15">
        <v>52</v>
      </c>
    </row>
    <row r="33" spans="1:7" ht="15" thickBot="1" x14ac:dyDescent="0.4">
      <c r="A33" s="18">
        <f>SUBSTITUTE(sheet1!A33,"M","")+0</f>
        <v>32</v>
      </c>
      <c r="B33" s="5" t="s">
        <v>35</v>
      </c>
      <c r="C33" s="5" t="s">
        <v>12</v>
      </c>
      <c r="D33" s="5" t="s">
        <v>99</v>
      </c>
      <c r="E33" s="5" t="s">
        <v>22</v>
      </c>
      <c r="F33" s="5" t="str">
        <f t="shared" si="0"/>
        <v>youth</v>
      </c>
      <c r="G33" s="15">
        <v>20</v>
      </c>
    </row>
    <row r="34" spans="1:7" ht="15" thickBot="1" x14ac:dyDescent="0.4">
      <c r="A34" s="18">
        <f>SUBSTITUTE(sheet1!A34,"M","")+0</f>
        <v>33</v>
      </c>
      <c r="B34" s="5" t="s">
        <v>35</v>
      </c>
      <c r="C34" s="5" t="s">
        <v>12</v>
      </c>
      <c r="D34" s="5" t="s">
        <v>101</v>
      </c>
      <c r="E34" s="5" t="s">
        <v>13</v>
      </c>
      <c r="F34" s="5" t="str">
        <f t="shared" si="0"/>
        <v>youth</v>
      </c>
      <c r="G34" s="15">
        <v>22</v>
      </c>
    </row>
    <row r="35" spans="1:7" ht="29.5" thickBot="1" x14ac:dyDescent="0.4">
      <c r="A35" s="18">
        <f>SUBSTITUTE(sheet1!A35,"M","")+0</f>
        <v>34</v>
      </c>
      <c r="B35" s="5" t="s">
        <v>18</v>
      </c>
      <c r="C35" s="5" t="s">
        <v>12</v>
      </c>
      <c r="D35" s="5" t="s">
        <v>103</v>
      </c>
      <c r="E35" s="5" t="s">
        <v>41</v>
      </c>
      <c r="F35" s="5" t="str">
        <f t="shared" si="0"/>
        <v>youth</v>
      </c>
      <c r="G35" s="15">
        <v>23</v>
      </c>
    </row>
    <row r="36" spans="1:7" ht="29.5" thickBot="1" x14ac:dyDescent="0.4">
      <c r="A36" s="18">
        <f>SUBSTITUTE(sheet1!A36,"M","")+0</f>
        <v>35</v>
      </c>
      <c r="B36" s="5" t="s">
        <v>18</v>
      </c>
      <c r="C36" s="5" t="s">
        <v>27</v>
      </c>
      <c r="D36" s="5" t="s">
        <v>106</v>
      </c>
      <c r="E36" s="5" t="s">
        <v>22</v>
      </c>
      <c r="F36" s="5" t="str">
        <f t="shared" si="0"/>
        <v>youth</v>
      </c>
      <c r="G36" s="15">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Question.1</vt:lpstr>
      <vt:lpstr>Question.2</vt:lpstr>
      <vt:lpstr>Question.3</vt:lpstr>
      <vt:lpstr>Question.4</vt:lpstr>
      <vt:lpstr>Question.5</vt:lpstr>
      <vt:lpstr>Dashboard</vt:lpstr>
      <vt:lpstr>Question.6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 vishwakarma</dc:creator>
  <cp:lastModifiedBy>vikas vishwakarma</cp:lastModifiedBy>
  <dcterms:created xsi:type="dcterms:W3CDTF">2025-09-27T17:42:43Z</dcterms:created>
  <dcterms:modified xsi:type="dcterms:W3CDTF">2025-11-08T19:37:31Z</dcterms:modified>
</cp:coreProperties>
</file>